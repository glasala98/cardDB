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portscarddb\cardDB\"/>
    </mc:Choice>
  </mc:AlternateContent>
  <xr:revisionPtr revIDLastSave="0" documentId="13_ncr:1_{663D7DAD-9936-4C21-BA68-BB969880630E}" xr6:coauthVersionLast="47" xr6:coauthVersionMax="47" xr10:uidLastSave="{00000000-0000-0000-0000-000000000000}"/>
  <bookViews>
    <workbookView xWindow="51480" yWindow="-10815" windowWidth="29040" windowHeight="16440" xr2:uid="{00000000-000D-0000-FFFF-FFFF00000000}"/>
  </bookViews>
  <sheets>
    <sheet name="All Cards" sheetId="1" r:id="rId1"/>
    <sheet name="Summary" sheetId="2" r:id="rId2"/>
    <sheet name="By Player" sheetId="3" r:id="rId3"/>
    <sheet name="By Set" sheetId="4" r:id="rId4"/>
    <sheet name="Charts" sheetId="5" r:id="rId5"/>
    <sheet name="Value Tiers" sheetId="6" r:id="rId6"/>
    <sheet name="Under $5" sheetId="7" r:id="rId7"/>
    <sheet name="Manual Entries" sheetId="8" r:id="rId8"/>
  </sheets>
  <definedNames>
    <definedName name="_xlnm._FilterDatabase" localSheetId="0" hidden="1">'All Cards'!$A$1:$K$1</definedName>
    <definedName name="_xlnm._FilterDatabase" localSheetId="2" hidden="1">'By Player'!$A$3:$C$3</definedName>
    <definedName name="_xlnm._FilterDatabase" localSheetId="3" hidden="1">'By Set'!$A$3:$C$3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8" l="1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3" i="7"/>
  <c r="B208" i="6"/>
  <c r="C206" i="6"/>
  <c r="B206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C180" i="6"/>
  <c r="B180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C137" i="6"/>
  <c r="B137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C25" i="6"/>
  <c r="B25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C2" i="6"/>
  <c r="B2" i="6"/>
  <c r="P30" i="5"/>
  <c r="B30" i="5"/>
  <c r="P29" i="5"/>
  <c r="B29" i="5"/>
  <c r="P28" i="5"/>
  <c r="B28" i="5"/>
  <c r="P27" i="5"/>
  <c r="B27" i="5"/>
  <c r="P26" i="5"/>
  <c r="B26" i="5"/>
  <c r="P25" i="5"/>
  <c r="B25" i="5"/>
  <c r="P24" i="5"/>
  <c r="B24" i="5"/>
  <c r="P23" i="5"/>
  <c r="B23" i="5"/>
  <c r="P22" i="5"/>
  <c r="B22" i="5"/>
  <c r="P21" i="5"/>
  <c r="B21" i="5"/>
  <c r="P8" i="5"/>
  <c r="B8" i="5"/>
  <c r="P7" i="5"/>
  <c r="B7" i="5"/>
  <c r="P6" i="5"/>
  <c r="B6" i="5"/>
  <c r="P5" i="5"/>
  <c r="B5" i="5"/>
  <c r="P4" i="5"/>
  <c r="B4" i="5"/>
  <c r="C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B40" i="2"/>
  <c r="B39" i="2"/>
  <c r="B38" i="2"/>
  <c r="B37" i="2"/>
  <c r="B36" i="2"/>
  <c r="B35" i="2"/>
  <c r="B34" i="2"/>
  <c r="B33" i="2"/>
  <c r="B32" i="2"/>
  <c r="B31" i="2"/>
  <c r="C27" i="2"/>
  <c r="B27" i="2"/>
  <c r="C26" i="2"/>
  <c r="B26" i="2"/>
  <c r="C25" i="2"/>
  <c r="B25" i="2"/>
  <c r="C24" i="2"/>
  <c r="B24" i="2"/>
  <c r="C23" i="2"/>
  <c r="B23" i="2"/>
  <c r="B19" i="2"/>
  <c r="B18" i="2"/>
  <c r="B17" i="2"/>
  <c r="B16" i="2"/>
  <c r="B15" i="2"/>
  <c r="B12" i="2"/>
  <c r="B11" i="2"/>
  <c r="B10" i="2"/>
  <c r="B7" i="2"/>
  <c r="B6" i="2"/>
  <c r="B5" i="2"/>
</calcChain>
</file>

<file path=xl/sharedStrings.xml><?xml version="1.0" encoding="utf-8"?>
<sst xmlns="http://schemas.openxmlformats.org/spreadsheetml/2006/main" count="2295" uniqueCount="892">
  <si>
    <t>#</t>
  </si>
  <si>
    <t>Card Name</t>
  </si>
  <si>
    <t>Fair Value (USD) - EDIT HERE</t>
  </si>
  <si>
    <t>Confidence</t>
  </si>
  <si>
    <t># Sales</t>
  </si>
  <si>
    <t>Top 3 Prices</t>
  </si>
  <si>
    <t>Min</t>
  </si>
  <si>
    <t>Max</t>
  </si>
  <si>
    <t>Notes</t>
  </si>
  <si>
    <t>Player</t>
  </si>
  <si>
    <t>Set</t>
  </si>
  <si>
    <t>2018-19 Upper Deck Parkhurst - [Base] #331 - Rookies - Elias Pettersson</t>
  </si>
  <si>
    <t>low</t>
  </si>
  <si>
    <t>1</t>
  </si>
  <si>
    <t>$144.57</t>
  </si>
  <si>
    <t>Elias Pettersson</t>
  </si>
  <si>
    <t>2018-19 Upper Deck Parkhurst</t>
  </si>
  <si>
    <t>2019-20 Upper Deck Parkhurst - [Base] #317 - Rookies - Noah Dobson</t>
  </si>
  <si>
    <t>$9.61</t>
  </si>
  <si>
    <t>Noah Dobson</t>
  </si>
  <si>
    <t>2019-20 Upper Deck Parkhurst</t>
  </si>
  <si>
    <t>2019-20 Upper Deck Parkhurst - [Base] #320 - Rookies - Jack Hughes</t>
  </si>
  <si>
    <t>high</t>
  </si>
  <si>
    <t>13</t>
  </si>
  <si>
    <t>$26.54 | $23.26 | $8.48</t>
  </si>
  <si>
    <t>$7.97</t>
  </si>
  <si>
    <t>$35.9</t>
  </si>
  <si>
    <t>Jack Hughes</t>
  </si>
  <si>
    <t>2020-21 O-Pee-Chee Platinum - [Base] - Rainbow #157 - Marquee Rookies - Thomas Harley</t>
  </si>
  <si>
    <t>2</t>
  </si>
  <si>
    <t>$8.99 | $13.57</t>
  </si>
  <si>
    <t>$8.99</t>
  </si>
  <si>
    <t>$13.57</t>
  </si>
  <si>
    <t>Thomas Harley</t>
  </si>
  <si>
    <t>2020-21 O-Pee-Chee Platinum</t>
  </si>
  <si>
    <t>2020-21 O-Pee-Chee Platinum - Retro #R-59 - Rookies - Brandon Hagel</t>
  </si>
  <si>
    <t>$2.92</t>
  </si>
  <si>
    <t>Brandon Hagel</t>
  </si>
  <si>
    <t>2022-23 Upper Deck Extended Series - [Base] #705 - Young Guns - Jonatan Berggren</t>
  </si>
  <si>
    <t>$8.74</t>
  </si>
  <si>
    <t>Jonatan Berggren</t>
  </si>
  <si>
    <t>2022-23 Upper Deck Extended Series</t>
  </si>
  <si>
    <t>2023-24 Upper Deck Series 1 - [Base] #201 - Young Guns - Matthew Coronato</t>
  </si>
  <si>
    <t>23</t>
  </si>
  <si>
    <t>$3.92 | $4.91 | $3.98</t>
  </si>
  <si>
    <t>$1.99</t>
  </si>
  <si>
    <t>$9.87</t>
  </si>
  <si>
    <t>Matthew Coronato</t>
  </si>
  <si>
    <t>2023-24 Upper Deck Series 1</t>
  </si>
  <si>
    <t>2023-24 Upper Deck Series 1 - [Base] #241 - Young Guns - Marco Kasper</t>
  </si>
  <si>
    <t>medium</t>
  </si>
  <si>
    <t>36</t>
  </si>
  <si>
    <t>$10.65 | $10.64 | $17.48</t>
  </si>
  <si>
    <t>$3.13</t>
  </si>
  <si>
    <t>$17.48</t>
  </si>
  <si>
    <t>Marco Kasper</t>
  </si>
  <si>
    <t>2023-24 Upper Deck Series 1 - [Base] #228 - Young Guns - Simon Edvinsson</t>
  </si>
  <si>
    <t>39</t>
  </si>
  <si>
    <t>$2.99 | $12.64 | $5.64</t>
  </si>
  <si>
    <t>$2.73</t>
  </si>
  <si>
    <t>$13.64</t>
  </si>
  <si>
    <t>Simon Edvinsson</t>
  </si>
  <si>
    <t>2023-24 Upper Deck Series 1 - [Base] #221 - Young Guns - Luke Evangelista</t>
  </si>
  <si>
    <t>46</t>
  </si>
  <si>
    <t>$5.48 | $5.03 | $3.19</t>
  </si>
  <si>
    <t>$1.5</t>
  </si>
  <si>
    <t>$8.41</t>
  </si>
  <si>
    <t>Luke Evangelista</t>
  </si>
  <si>
    <t>2023-24 Upper Deck Series 1 - [Base] #213 - Young Guns - Will Cuylle</t>
  </si>
  <si>
    <t>$6.15 | $5.9 | $9.64</t>
  </si>
  <si>
    <t>$2.0</t>
  </si>
  <si>
    <t>$15.0</t>
  </si>
  <si>
    <t>Will Cuylle</t>
  </si>
  <si>
    <t>2023-24 Upper Deck Series 1 - [Base] - Outburst Silver #44 - Mikko Rantanen</t>
  </si>
  <si>
    <t>$98.34</t>
  </si>
  <si>
    <t>Mikko Rantanen</t>
  </si>
  <si>
    <t>2023-24 Upper Deck Series 1 - [Base] - Deluxe #144 - Tomas Hertl #1/250</t>
  </si>
  <si>
    <t>manual</t>
  </si>
  <si>
    <t>Tomas Hertl</t>
  </si>
  <si>
    <t>2022-23 Upper Deck Synergy - Cranked Up - Purple #CU-SC - Sidney Crosby #70/99</t>
  </si>
  <si>
    <t>$6.85 | $17.91</t>
  </si>
  <si>
    <t>$6.85</t>
  </si>
  <si>
    <t>$17.91</t>
  </si>
  <si>
    <t>Sidney Crosby</t>
  </si>
  <si>
    <t>2022-23 Upper Deck Synergy</t>
  </si>
  <si>
    <t>2022-23 Upper Deck Synergy - Light Up The Night #LN-CP - Carey Price #754/899</t>
  </si>
  <si>
    <t>$12.25</t>
  </si>
  <si>
    <t>Carey Price</t>
  </si>
  <si>
    <t>2023 Upper Deck All-Sports Game Dated Moments - [Base] #66 - (Dec. 26, 2023) - Macklin Celebrini Scores First Goal of the 2024 World Junior Championship</t>
  </si>
  <si>
    <t>15</t>
  </si>
  <si>
    <t>$19.46 | $15.15 | $17.64</t>
  </si>
  <si>
    <t>$11.93</t>
  </si>
  <si>
    <t>$24.71</t>
  </si>
  <si>
    <t>Macklin Celebrini Scores</t>
  </si>
  <si>
    <t>2023 Upper Deck All-Sports Game Dated Moments</t>
  </si>
  <si>
    <t>2022-23 Skybox Metal Universe - Hardware #HW-4 - Nazem Kadri</t>
  </si>
  <si>
    <t>$22.49</t>
  </si>
  <si>
    <t>Nazem Kadri</t>
  </si>
  <si>
    <t>2022-23 Skybox Metal Universe</t>
  </si>
  <si>
    <t>2023-24 Upper Deck Series 2 - [Base] #492 - Young Guns - Dmitri Voronkov</t>
  </si>
  <si>
    <t>22</t>
  </si>
  <si>
    <t>$11.24 | $2.0 | $3.58</t>
  </si>
  <si>
    <t>$14.87</t>
  </si>
  <si>
    <t>Dmitri Voronkov</t>
  </si>
  <si>
    <t>2023-24 Upper Deck Series 2</t>
  </si>
  <si>
    <t>2023-24 Upper Deck Series 2 - [Base] #500 - Young Guns Checklist - Connor Bedard, Leo Carlsson</t>
  </si>
  <si>
    <t>33</t>
  </si>
  <si>
    <t>$5.32 | $8.31 | $9.51</t>
  </si>
  <si>
    <t>$2.25</t>
  </si>
  <si>
    <t>$11.69</t>
  </si>
  <si>
    <t>Connor Bedard</t>
  </si>
  <si>
    <t>2023-24 Upper Deck Series 2 - [Base] #456 - Young Guns - Jackson LaCombe</t>
  </si>
  <si>
    <t>91</t>
  </si>
  <si>
    <t>$6.57 | $7.99 | $5.47</t>
  </si>
  <si>
    <t>$1.8</t>
  </si>
  <si>
    <t>$14.92</t>
  </si>
  <si>
    <t>Jackson LaCombe</t>
  </si>
  <si>
    <t>2024 Upper Deck - UD Retro Rookies #RR-10 - Corey Conners</t>
  </si>
  <si>
    <t>0</t>
  </si>
  <si>
    <t>$5.0</t>
  </si>
  <si>
    <t>Corey Conners</t>
  </si>
  <si>
    <t>2024 Upper Deck</t>
  </si>
  <si>
    <t>2022-23 O-Pee-Chee Platinum - [Base] - Aquamarine #239 - Marquee Rookies - Noah Cates #15/149</t>
  </si>
  <si>
    <t>estimated</t>
  </si>
  <si>
    <t>$5.34</t>
  </si>
  <si>
    <t>Noah Cates</t>
  </si>
  <si>
    <t>2022-23 O-Pee-Chee Platinum</t>
  </si>
  <si>
    <t>2023-24 Upper Deck Extended Series - [Base] #724 - Young Guns - Dennis Hildeby</t>
  </si>
  <si>
    <t>4</t>
  </si>
  <si>
    <t>$10.23 | $11.4 | $8.03</t>
  </si>
  <si>
    <t>$8.03</t>
  </si>
  <si>
    <t>$12.43</t>
  </si>
  <si>
    <t>Dennis Hildeby</t>
  </si>
  <si>
    <t>2023-24 Upper Deck Extended Series</t>
  </si>
  <si>
    <t>2022-23 Upper Deck Fleer Ultra - 30th Anniversary #A-10 - Felix Potvin</t>
  </si>
  <si>
    <t>$14.21</t>
  </si>
  <si>
    <t>Felix Potvin</t>
  </si>
  <si>
    <t>2022-23 Upper Deck Fleer Ultra</t>
  </si>
  <si>
    <t>2024-25 Upper Deck UD Rookie Debut - [Base] #9 - Lane Hutson</t>
  </si>
  <si>
    <t>9</t>
  </si>
  <si>
    <t>$24.74 | $35.81 | $22.79</t>
  </si>
  <si>
    <t>$16.02</t>
  </si>
  <si>
    <t>$36.56</t>
  </si>
  <si>
    <t>Lane Hutson</t>
  </si>
  <si>
    <t>2024-25 Upper Deck UD Rookie Debut</t>
  </si>
  <si>
    <t>2024-25 Upper Deck Series 1 - UD Canvas #C-117 - Young Guns - Frank Nazar</t>
  </si>
  <si>
    <t>$45.48 | $29.79 | $20.0</t>
  </si>
  <si>
    <t>$20.0</t>
  </si>
  <si>
    <t>$45.48</t>
  </si>
  <si>
    <t>Frank Nazar</t>
  </si>
  <si>
    <t>2024-25 Upper Deck Series 1</t>
  </si>
  <si>
    <t>2024-25 Upper Deck Series 1 - [Base] #208 - Young Guns - Bradly Nadeau</t>
  </si>
  <si>
    <t>61</t>
  </si>
  <si>
    <t>$4.21 | $3.92 | $5.47</t>
  </si>
  <si>
    <t>$1.75</t>
  </si>
  <si>
    <t>$11.99</t>
  </si>
  <si>
    <t>Bradly Nadeau</t>
  </si>
  <si>
    <t>2024-25 Upper Deck Series 1 - [Base] #216 - Young Guns - Matt Rempe</t>
  </si>
  <si>
    <t>70</t>
  </si>
  <si>
    <t>$7.27 | $7.28 | $7.27</t>
  </si>
  <si>
    <t>$14.73</t>
  </si>
  <si>
    <t>Matt Rempe</t>
  </si>
  <si>
    <t>2024-25 Upper Deck Series 1 - [Base] #233 - Young Guns - Josh Doan</t>
  </si>
  <si>
    <t>138</t>
  </si>
  <si>
    <t>$9.01 | $9.86 | $4.29</t>
  </si>
  <si>
    <t>$2.5</t>
  </si>
  <si>
    <t>$20.23</t>
  </si>
  <si>
    <t>Josh Doan</t>
  </si>
  <si>
    <t>2023-24 Upper Deck Synergy - Synergistic Duos Star-Legend - Green #SD-8 - Auston Matthews, Doug Gilmour #179/399</t>
  </si>
  <si>
    <t>$10.24 | $11.92</t>
  </si>
  <si>
    <t>$10.24</t>
  </si>
  <si>
    <t>$11.92</t>
  </si>
  <si>
    <t>Auston Matthews</t>
  </si>
  <si>
    <t>2023-24 Upper Deck Synergy</t>
  </si>
  <si>
    <t>2023-24 Upper Deck Series 2 - [Base] #451 - Young Guns - Connor Bedard [PSA 9 MINT]</t>
  </si>
  <si>
    <t>50</t>
  </si>
  <si>
    <t>$396.31 | $268.77 | $273.77</t>
  </si>
  <si>
    <t>$243.5</t>
  </si>
  <si>
    <t>$396.31</t>
  </si>
  <si>
    <t>2024-25 Upper Deck Game Dated Moments - Rookie of the Month #R-1 - October - Matvei Michkov</t>
  </si>
  <si>
    <t>$21.24 | $14.44</t>
  </si>
  <si>
    <t>$14.44</t>
  </si>
  <si>
    <t>$21.24</t>
  </si>
  <si>
    <t>Matvei Michkov</t>
  </si>
  <si>
    <t>2024-25 Upper Deck Game Dated Moments</t>
  </si>
  <si>
    <t>2023-24 Upper Deck Series 1 - UD Canvas #C103 - Young Guns - Matthew Knies [PSA 9 MINT]</t>
  </si>
  <si>
    <t>$54.47 | $52.28 | $204.74</t>
  </si>
  <si>
    <t>$52.28</t>
  </si>
  <si>
    <t>$204.74</t>
  </si>
  <si>
    <t>Matthew Knies</t>
  </si>
  <si>
    <t>2024-25 Upper Deck Series 2 - [Base] - Outburst #463 - Young Guns - Maxim Tsyplakov</t>
  </si>
  <si>
    <t>$7.49 | $3.0 | $14.49</t>
  </si>
  <si>
    <t>$3.0</t>
  </si>
  <si>
    <t>$14.49</t>
  </si>
  <si>
    <t>Maxim Tsyplakov</t>
  </si>
  <si>
    <t>2024-25 Upper Deck Series 2</t>
  </si>
  <si>
    <t>2024-25 Upper Deck Series 2 - [Base] - Outburst #380 - Sidney Crosby</t>
  </si>
  <si>
    <t>14</t>
  </si>
  <si>
    <t>$29.53 | $29.63 | $15.0</t>
  </si>
  <si>
    <t>$10.97</t>
  </si>
  <si>
    <t>$38.01</t>
  </si>
  <si>
    <t>2024-25 Upper Deck Series 2 - UD Canvas #C241 - Retired - Gordie Howe</t>
  </si>
  <si>
    <t>20</t>
  </si>
  <si>
    <t>$17.21 | $19.26 | $18.24</t>
  </si>
  <si>
    <t>$5.8</t>
  </si>
  <si>
    <t>$19.26</t>
  </si>
  <si>
    <t>Gordie Howe</t>
  </si>
  <si>
    <t>2024-25 Upper Deck Series 2 - UD Canvas #C256 - Program of Excellence - Olen Zellweger</t>
  </si>
  <si>
    <t>Olen Zellweger</t>
  </si>
  <si>
    <t>2023-24 O-Pee-Chee Platinum - [Base] - Rainbow Color Wheel #201 - Marquee Rookies - Connor Bedard</t>
  </si>
  <si>
    <t>5</t>
  </si>
  <si>
    <t>$55.88 | $82.0 | $96.15</t>
  </si>
  <si>
    <t>$55.88</t>
  </si>
  <si>
    <t>$96.15</t>
  </si>
  <si>
    <t>2023-24 O-Pee-Chee Platinum</t>
  </si>
  <si>
    <t>2023-24 O-Pee-Chee Platinum - [Base] - Rainbow Color Wheel #224 - Marquee Rookies - Mason Lohrei</t>
  </si>
  <si>
    <t>8</t>
  </si>
  <si>
    <t>$3.28 | $4.38 | $5.85</t>
  </si>
  <si>
    <t>$5.85</t>
  </si>
  <si>
    <t>Mason Lohrei</t>
  </si>
  <si>
    <t>2023-24 O-Pee-Chee Platinum - Retro #R-100 - Rookie - Connor Bedard</t>
  </si>
  <si>
    <t>$31.43 | $30.46</t>
  </si>
  <si>
    <t>$30.46</t>
  </si>
  <si>
    <t>$31.43</t>
  </si>
  <si>
    <t>2024-25 Upper Deck Series 2 - UD Portraits #P37 - Macklin Celebrini</t>
  </si>
  <si>
    <t>222</t>
  </si>
  <si>
    <t>$25.52 | $25.51 | $54.75</t>
  </si>
  <si>
    <t>$7.31</t>
  </si>
  <si>
    <t>$54.75</t>
  </si>
  <si>
    <t>Macklin Celebrini</t>
  </si>
  <si>
    <t>2024-25 Upper Deck Series 2 - UD Canvas #C215 - Young Guns - Jackson Blake</t>
  </si>
  <si>
    <t>$23.98 | $19.47 | $17.11</t>
  </si>
  <si>
    <t>$6.49</t>
  </si>
  <si>
    <t>$23.98</t>
  </si>
  <si>
    <t>Jackson Blake</t>
  </si>
  <si>
    <t>2024-25 Upper Deck Series 2 - UD Canvas #C221 - Young Guns - Adam Klapka</t>
  </si>
  <si>
    <t>$12.25 | $19.47 | $12.25</t>
  </si>
  <si>
    <t>$5.84</t>
  </si>
  <si>
    <t>$19.47</t>
  </si>
  <si>
    <t>Adam Klapka</t>
  </si>
  <si>
    <t>2024-25 Upper Deck Series 2 - UD Canvas #C172 - Patrick Kane</t>
  </si>
  <si>
    <t>27</t>
  </si>
  <si>
    <t>$14.6 | $23.45 | $14.6</t>
  </si>
  <si>
    <t>$6.97</t>
  </si>
  <si>
    <t>$23.45</t>
  </si>
  <si>
    <t>Patrick Kane</t>
  </si>
  <si>
    <t>2024-25 Upper Deck Series 2 - [Base] #461 - Young Guns - Oliver Kapanen</t>
  </si>
  <si>
    <t>196</t>
  </si>
  <si>
    <t>$16.25 | $18.02 | $23.98</t>
  </si>
  <si>
    <t>$5.66</t>
  </si>
  <si>
    <t>$46.01</t>
  </si>
  <si>
    <t>Oliver Kapanen</t>
  </si>
  <si>
    <t>2024-25 Upper Deck Series 2 - [Base] #473 - Young Guns - Devin Cooley</t>
  </si>
  <si>
    <t>65</t>
  </si>
  <si>
    <t>$10.57 | $4.01 | $3.65</t>
  </si>
  <si>
    <t>$13.6</t>
  </si>
  <si>
    <t>Devin Cooley</t>
  </si>
  <si>
    <t>2024-25 Upper Deck Series 2 - [Base] #474 - Young Guns - Rutger McGroarty</t>
  </si>
  <si>
    <t>$4.0 | $3.75 | $4.38</t>
  </si>
  <si>
    <t>$1.86</t>
  </si>
  <si>
    <t>$13.44</t>
  </si>
  <si>
    <t>Rutger McGroarty</t>
  </si>
  <si>
    <t>2024-25 Upper Deck Series 2 - [Base] #478 - Young Guns - Conor Geekie</t>
  </si>
  <si>
    <t>77</t>
  </si>
  <si>
    <t>$5.98 | $3.98 | $2.55</t>
  </si>
  <si>
    <t>$1.4</t>
  </si>
  <si>
    <t>Conor Geekie</t>
  </si>
  <si>
    <t>2024-25 Upper Deck Series 2 - [Base] #497 - Young Guns - Logan Mailloux, Lane Hutson</t>
  </si>
  <si>
    <t>16</t>
  </si>
  <si>
    <t>$2.69 | $3.29 | $3.65</t>
  </si>
  <si>
    <t>$6.0</t>
  </si>
  <si>
    <t>Logan Mailloux</t>
  </si>
  <si>
    <t>2024-25 Upper Deck Series 2 - [Base] #498 - Young Guns - Olen Zellweger, Cutter Gauthier</t>
  </si>
  <si>
    <t>$11.97 | $13.22 | $19.47</t>
  </si>
  <si>
    <t>$4.69</t>
  </si>
  <si>
    <t>2024-25 Upper Deck Series 2 - [Base] #499 - Young Guns - Macklin Celebrini, Will Smith</t>
  </si>
  <si>
    <t>115</t>
  </si>
  <si>
    <t>$39.02 | $36.12 | $55.77</t>
  </si>
  <si>
    <t>$8.77</t>
  </si>
  <si>
    <t>$55.77</t>
  </si>
  <si>
    <t>2024-25 Upper Deck Series 2 - [Base] #500 - Young Guns Checklist - Macklin Celebrini, Matvei Michkov</t>
  </si>
  <si>
    <t>$18.1 | $9.1 | $9.5</t>
  </si>
  <si>
    <t>$3.25</t>
  </si>
  <si>
    <t>$18.1</t>
  </si>
  <si>
    <t>2024-25 Upper Deck Series 2 - [Base] - Silver Foil #313 - Leon Draisaitl</t>
  </si>
  <si>
    <t>$19.47 | $8.04</t>
  </si>
  <si>
    <t>$8.04</t>
  </si>
  <si>
    <t>Leon Draisaitl</t>
  </si>
  <si>
    <t>2023-24 O-Pee-Chee Platinum - [Base] - Red Prism #281 - Marquee Rookies - Hardy Haman Aktell #109/199</t>
  </si>
  <si>
    <t>$6.55 | $13.61</t>
  </si>
  <si>
    <t>$6.55</t>
  </si>
  <si>
    <t>$13.61</t>
  </si>
  <si>
    <t>Hardy Haman Aktell</t>
  </si>
  <si>
    <t>2023-24 O-Pee-Chee Platinum - [Base] - Violet Pixels #53 - Nick Suzuki #116/299</t>
  </si>
  <si>
    <t>$10.14</t>
  </si>
  <si>
    <t>Nick Suzuki</t>
  </si>
  <si>
    <t>2023-24 O-Pee-Chee Platinum - [Base] - Arctic Freeze #177 - Nazem Kadri #44/99</t>
  </si>
  <si>
    <t>$9.47 | $7.15 | $14.25</t>
  </si>
  <si>
    <t>$5.38</t>
  </si>
  <si>
    <t>$14.25</t>
  </si>
  <si>
    <t>2023-24 O-Pee-Chee Platinum - [Base] - Cosmic #256 - Marquee Rookies - John Beecher #58/65</t>
  </si>
  <si>
    <t>John Beecher</t>
  </si>
  <si>
    <t>2023-24 O-Pee-Chee Platinum - Rookie Autographs - Rainbow #R-HT - Henry Thrun</t>
  </si>
  <si>
    <t>$20.6 | $11.19 | $13.92</t>
  </si>
  <si>
    <t>$11.19</t>
  </si>
  <si>
    <t>$20.6</t>
  </si>
  <si>
    <t>Henry Thrun</t>
  </si>
  <si>
    <t>2024 Upper Deck PWHL 1st Edition - Dazzlers #DZ-8 - Loren Gabel</t>
  </si>
  <si>
    <t>$6.57 | $13.49 | $14.56</t>
  </si>
  <si>
    <t>$6.57</t>
  </si>
  <si>
    <t>$14.56</t>
  </si>
  <si>
    <t>Loren Gabel</t>
  </si>
  <si>
    <t>2024 Upper Deck PWHL 1st Edition</t>
  </si>
  <si>
    <t>2024 Upper Deck PWHL 1st Edition - Dazzlers #DZ-10 - Emily Clark</t>
  </si>
  <si>
    <t>$11.15 | $16.8 | $14.51</t>
  </si>
  <si>
    <t>$16.8</t>
  </si>
  <si>
    <t>Emily Clark</t>
  </si>
  <si>
    <t>2024 Upper Deck PWHL 1st Edition - Dazzlers #DZ-11 - Jocelyne Larocque</t>
  </si>
  <si>
    <t>$3.84 | $14.6 | $12.6</t>
  </si>
  <si>
    <t>$3.84</t>
  </si>
  <si>
    <t>$14.6</t>
  </si>
  <si>
    <t>Jocelyne Larocque</t>
  </si>
  <si>
    <t>2024 Upper Deck PWHL 1st Edition - Dazzlers #DZ-12 - Rebecca Leslie</t>
  </si>
  <si>
    <t>$14.6 | $14.6 | $14.6</t>
  </si>
  <si>
    <t>Rebecca Leslie</t>
  </si>
  <si>
    <t>2024 Upper Deck PWHL 1st Edition - Dazzlers #DZ-13 - Jamie Lee Rattray</t>
  </si>
  <si>
    <t>3</t>
  </si>
  <si>
    <t>$14.61 | $14.6 | $12.72</t>
  </si>
  <si>
    <t>$12.72</t>
  </si>
  <si>
    <t>$14.61</t>
  </si>
  <si>
    <t>Jamie Lee Rattray</t>
  </si>
  <si>
    <t>2024 Upper Deck PWHL 1st Edition - Dazzlers #DZ-15 - Chloe Aurard</t>
  </si>
  <si>
    <t>6</t>
  </si>
  <si>
    <t>$14.6 | $12.6 | $12.6</t>
  </si>
  <si>
    <t>Chloe Aurard</t>
  </si>
  <si>
    <t>2024 Upper Deck PWHL 1st Edition - Dazzlers #DZ-19 - Aerin Frankel</t>
  </si>
  <si>
    <t>$5.3 | $8.77 | $29.62</t>
  </si>
  <si>
    <t>$5.3</t>
  </si>
  <si>
    <t>$29.62</t>
  </si>
  <si>
    <t>Aerin Frankel</t>
  </si>
  <si>
    <t>2024 Upper Deck PWHL 1st Edition - UD Portraits #P-2 - Marie-Philip Poulin</t>
  </si>
  <si>
    <t>7</t>
  </si>
  <si>
    <t>$21.24 | $21.23 | $12.06</t>
  </si>
  <si>
    <t>$12.06</t>
  </si>
  <si>
    <t>Marie-Philip Poulin</t>
  </si>
  <si>
    <t>2024 Upper Deck PWHL 1st Edition - [Base] #52 - Young Guns - Grace Zumwinkle</t>
  </si>
  <si>
    <t>$19.76 | $17.54 | $17.68</t>
  </si>
  <si>
    <t>$9.99</t>
  </si>
  <si>
    <t>$40.48</t>
  </si>
  <si>
    <t>Grace Zumwinkle</t>
  </si>
  <si>
    <t>2024 Upper Deck PWHL 1st Edition - [Base] #54 - Young Guns - Alex Carpenter</t>
  </si>
  <si>
    <t>$17.22 | $27.99 | $27.76</t>
  </si>
  <si>
    <t>$10.32</t>
  </si>
  <si>
    <t>$27.99</t>
  </si>
  <si>
    <t>Alex Carpenter</t>
  </si>
  <si>
    <t>2024 Upper Deck PWHL 1st Edition - [Base] #55 - Young Guns - Brianne Jenner</t>
  </si>
  <si>
    <t>$19.13 | $28.34 | $12.42</t>
  </si>
  <si>
    <t>$12.42</t>
  </si>
  <si>
    <t>$28.34</t>
  </si>
  <si>
    <t>Brianne Jenner</t>
  </si>
  <si>
    <t>2024 Upper Deck PWHL 1st Edition - [Base] #67 - Young Guns - Gabbie Hughes</t>
  </si>
  <si>
    <t>12</t>
  </si>
  <si>
    <t>$17.03 | $12.42 | $17.38</t>
  </si>
  <si>
    <t>$6.5</t>
  </si>
  <si>
    <t>$22.42</t>
  </si>
  <si>
    <t>Gabbie Hughes</t>
  </si>
  <si>
    <t>2024-25 Upper Deck Series 2 - [Base] - Deluxe #454 - Young Guns - Brandon Scanlin #218/250</t>
  </si>
  <si>
    <t>$6.01 | $4.86 | $4.78</t>
  </si>
  <si>
    <t>$3.05</t>
  </si>
  <si>
    <t>$6.01</t>
  </si>
  <si>
    <t>Brandon Scanlin</t>
  </si>
  <si>
    <t>2024-25 Upper Deck Series 2 - [Base] - Deluxe #493 - Young Guns - Brandon Bussi #199/250</t>
  </si>
  <si>
    <t>$93.97 | $38.15</t>
  </si>
  <si>
    <t>$38.15</t>
  </si>
  <si>
    <t>$93.97</t>
  </si>
  <si>
    <t>Brandon Bussi</t>
  </si>
  <si>
    <t>2023-24 SPx - Signature Fabrics - Spectrum Patch #SF-JT - John Tavares #2/5</t>
  </si>
  <si>
    <t>John Tavares</t>
  </si>
  <si>
    <t>2023-24 SPx</t>
  </si>
  <si>
    <t>2024-25 Upper Deck Series 2 - [Base] #492 - Young Guns - Matvei Michkov</t>
  </si>
  <si>
    <t>214</t>
  </si>
  <si>
    <t>$31.8 | $19.84 | $37.99</t>
  </si>
  <si>
    <t>$13.5</t>
  </si>
  <si>
    <t>$108.0</t>
  </si>
  <si>
    <t>2024-25 Upper Deck Series 2 - UD Canvas - Black &amp; White #C257 - Program of Excellence - Joshua Roy</t>
  </si>
  <si>
    <t>$4.57 | $4.03 | $2.93</t>
  </si>
  <si>
    <t>$2.93</t>
  </si>
  <si>
    <t>$11.31</t>
  </si>
  <si>
    <t>Joshua Roy</t>
  </si>
  <si>
    <t>2024-25 4 Nations Face-Off - Game Dated Moments #2 - (Feb. 12, 2025) - Crosby Dishes out Three Assists as Canada Tops Sweden at the 4 Nations Face-Off™</t>
  </si>
  <si>
    <t>Crosby Dishes</t>
  </si>
  <si>
    <t>2024-25 4 Nations Face-Off</t>
  </si>
  <si>
    <t>2024-25 4 Nations Face-Off - Game Dated Moments - Silver #2 - (Feb. 12, 2025) - Crosby Dishes out Three Assists as Canada Tops Sweden at the 4 Nations Face-Off™</t>
  </si>
  <si>
    <t>2024-25 4 Nations Face-Off - Game Dated Moments - Silver #20 - (Feb. 20, 2025) - McDavid Scores in Overtime, Lifts Canada to Win Over U.S. in the 4 Nations Face-Off™ Championship Game</t>
  </si>
  <si>
    <t>$6.22 | $12.8 | $6.56</t>
  </si>
  <si>
    <t>$6.22</t>
  </si>
  <si>
    <t>$12.8</t>
  </si>
  <si>
    <t>McDavid Scores</t>
  </si>
  <si>
    <t>2023-24 Upper Deck Fleer Ultra - 2053-54 Fleer Ultra #U-38 - Connor McDavid</t>
  </si>
  <si>
    <t>$14.32</t>
  </si>
  <si>
    <t>Connor McDavid</t>
  </si>
  <si>
    <t>2023-24 Upper Deck Fleer Ultra</t>
  </si>
  <si>
    <t>2023-24 O-Pee-Chee Platinum - [Base] - Violet Pixels #236 - Marquee Rookies - Connor Zary [Passed Pre‑Grade Review] #168/299</t>
  </si>
  <si>
    <t>$2.37 | $2.7</t>
  </si>
  <si>
    <t>$2.37</t>
  </si>
  <si>
    <t>$2.7</t>
  </si>
  <si>
    <t>Connor Zary</t>
  </si>
  <si>
    <t>2023-24 Upper Deck Parkhurst - Prominent Prospects #PP-CB - Connor Bedard [Passed Pre‑Grade Review]</t>
  </si>
  <si>
    <t>$17.22 | $16.81 | $16.8</t>
  </si>
  <si>
    <t>$17.22</t>
  </si>
  <si>
    <t>2023-24 Upper Deck Parkhurst</t>
  </si>
  <si>
    <t>2024 Upper Deck PWHL 1st Edition - [Base] - Exclusives #7 - Maddie Rooney #72/100</t>
  </si>
  <si>
    <t>$39.47</t>
  </si>
  <si>
    <t>Maddie Rooney</t>
  </si>
  <si>
    <t>2024 Upper Deck PWHL 1st Edition - [Base] - Exclusives #3 - Elaine Chuli #68/100</t>
  </si>
  <si>
    <t>$0.45</t>
  </si>
  <si>
    <t>Elaine Chuli</t>
  </si>
  <si>
    <t>2024 Upper Deck PWHL 1st Edition - [Base] - Exclusives #31 - Samantha Cogan #43/100</t>
  </si>
  <si>
    <t>Samantha Cogan</t>
  </si>
  <si>
    <t>2024 Upper Deck PWHL 1st Edition - [Base] - Exclusives #15 - Akane Shiga #15/100</t>
  </si>
  <si>
    <t>$17.02</t>
  </si>
  <si>
    <t>Akane Shiga</t>
  </si>
  <si>
    <t>2024 Upper Deck Team Canada Juniors - [Base] - Signatures #139 - Program of Excellence - Liam Greentree</t>
  </si>
  <si>
    <t>Liam Greentree</t>
  </si>
  <si>
    <t>2024 Upper Deck Team Canada Juniors</t>
  </si>
  <si>
    <t>2024 Upper Deck Team Canada Juniors - [Base] - Jersey #24 - Liam Greentree</t>
  </si>
  <si>
    <t>$8.49 | $14.97 | $13.92</t>
  </si>
  <si>
    <t>$8.49</t>
  </si>
  <si>
    <t>$14.97</t>
  </si>
  <si>
    <t>2024-25 Upper Deck Extended Series - UD Canvas #C369 - Young Guns - Lian Bichsel</t>
  </si>
  <si>
    <t>$6.5 | $14.19</t>
  </si>
  <si>
    <t>$14.19</t>
  </si>
  <si>
    <t>Lian Bichsel</t>
  </si>
  <si>
    <t>2024-25 Upper Deck Extended Series</t>
  </si>
  <si>
    <t>2021-22 O-Pee-Chee Platinum - [Base] - Rainbow Color Wheel #284 - Marquee Rookies - Seth Jarvis</t>
  </si>
  <si>
    <t>19</t>
  </si>
  <si>
    <t>$10.35 | $4.48 | $10.39</t>
  </si>
  <si>
    <t>$4.48</t>
  </si>
  <si>
    <t>$27.37</t>
  </si>
  <si>
    <t>Seth Jarvis</t>
  </si>
  <si>
    <t>2021-22 O-Pee-Chee Platinum</t>
  </si>
  <si>
    <t>2024 Upper Deck PWHL 1st Edition - [Base] #60 - Young Guns - Ann-Renee Desbiens</t>
  </si>
  <si>
    <t>10</t>
  </si>
  <si>
    <t>$29.94 | $39.85 | $42.04</t>
  </si>
  <si>
    <t>$42.55</t>
  </si>
  <si>
    <t>Ann-Renee Desbiens</t>
  </si>
  <si>
    <t>2024 Upper Deck PWHL 1st Edition - [Base] #65 - Young Guns - Marie-Philip Poulin</t>
  </si>
  <si>
    <t>$86.77 | $100.15 | $115.59</t>
  </si>
  <si>
    <t>$54.0</t>
  </si>
  <si>
    <t>$188.65</t>
  </si>
  <si>
    <t>2025 Upper Deck GR8 Moments - [Base] - Red #GR-6 - (Jun. 7, 2018) - Alex Ovechkin Lifts Stanley Cup</t>
  </si>
  <si>
    <t>$12.92 | $15.98 | $12.6</t>
  </si>
  <si>
    <t>$12.6</t>
  </si>
  <si>
    <t>$15.98</t>
  </si>
  <si>
    <t>Alex Ovechkin Lifts</t>
  </si>
  <si>
    <t>2025 Upper Deck GR8 Moments</t>
  </si>
  <si>
    <t>2025 Upper Deck GR8 Moments - [Base] - Red #GR-4 - (Jan. 21, 2010) - Alex Ovechkin Reaches 250 Goals</t>
  </si>
  <si>
    <t>Alex Ovechkin Reaches</t>
  </si>
  <si>
    <t>2025 Upper Deck GR8 Moments - [Base] - Red #GR-2 - (Oct. 12, 2007) - Alex Ovechkin Scores 100th Goal</t>
  </si>
  <si>
    <t>Alex Ovechkin Scores</t>
  </si>
  <si>
    <t>2025 Upper Deck GR8 Moments - [Base] - Photo Variant Achievement #GR-8V - (Apr. 6, 2025) - Alex Ovechkin Breaks NHL Goals Record</t>
  </si>
  <si>
    <t>$18.98 | $16.18 | $17.98</t>
  </si>
  <si>
    <t>$16.18</t>
  </si>
  <si>
    <t>$24.14</t>
  </si>
  <si>
    <t>Alex Ovechkin Breaks</t>
  </si>
  <si>
    <t>2024 Upper Deck PWHL 1st Edition - [Base] #51 - Young Guns - Sarah Nurse</t>
  </si>
  <si>
    <t>$30.49 | $21.21 | $27.22</t>
  </si>
  <si>
    <t>$11.5</t>
  </si>
  <si>
    <t>$57.08</t>
  </si>
  <si>
    <t>Sarah Nurse</t>
  </si>
  <si>
    <t>2024 Upper Deck PWHL 1st Edition - [Base] #63 - Young Guns - Natalie Spooner</t>
  </si>
  <si>
    <t>$19.37 | $37.28 | $16.69</t>
  </si>
  <si>
    <t>$14.34</t>
  </si>
  <si>
    <t>$40.79</t>
  </si>
  <si>
    <t>Natalie Spooner</t>
  </si>
  <si>
    <t>2024 Upper Deck PWHL 1st Edition - [Base] - Outburst #56 - Young Guns - Alina Muller</t>
  </si>
  <si>
    <t>$24.48 | $22.36</t>
  </si>
  <si>
    <t>$22.36</t>
  </si>
  <si>
    <t>$24.48</t>
  </si>
  <si>
    <t>Alina Muller</t>
  </si>
  <si>
    <t>2024 Upper Deck PWHL 1st Edition - Dazzlers #DZ-2 - Marie-Philip Poulin</t>
  </si>
  <si>
    <t>$36.05 | $20.84 | $33.55</t>
  </si>
  <si>
    <t>$19.18</t>
  </si>
  <si>
    <t>$36.05</t>
  </si>
  <si>
    <t>2024-25 Upper Deck Series 1 - Young Guns Renewed #YGR-21 - Carey Price</t>
  </si>
  <si>
    <t>$5.11 | $10.6 | $6.76</t>
  </si>
  <si>
    <t>$14.62</t>
  </si>
  <si>
    <t>2023-24 Upper Deck Parkhurst - Prominent Prospects #PP-KN - Matthew Knies</t>
  </si>
  <si>
    <t>$7.06 | $25.79 | $13.73</t>
  </si>
  <si>
    <t>$7.06</t>
  </si>
  <si>
    <t>$25.79</t>
  </si>
  <si>
    <t>2024-25 Skybox Metal Universe - [Base] - Autographs #121 - Rookies - Rutger McGroarty</t>
  </si>
  <si>
    <t>$22.48 | $24.54 | $27.63</t>
  </si>
  <si>
    <t>$22.48</t>
  </si>
  <si>
    <t>$27.63</t>
  </si>
  <si>
    <t>2024-25 Skybox Metal Universe</t>
  </si>
  <si>
    <t>2024-25 Upper Deck Series 1 - [Base] #227 - Young Guns - Frank Nazar</t>
  </si>
  <si>
    <t>145</t>
  </si>
  <si>
    <t>$12.06 | $15.15 | $23.64</t>
  </si>
  <si>
    <t>$6.64</t>
  </si>
  <si>
    <t>$51.0</t>
  </si>
  <si>
    <t>2021-22 Upper Deck Fleer Ultra - [Base] - Blue Foil #100 - Connor McDavid [Passed Pre‑Grade Review] #243/399</t>
  </si>
  <si>
    <t>$13.15</t>
  </si>
  <si>
    <t>2021-22 Upper Deck Fleer Ultra</t>
  </si>
  <si>
    <t>2023-24 Upper Deck Parkhurst - Prominent Prospects - Blue #PP-MA - Matthew Kessel [Passed Pre‑Grade Review] #24/25</t>
  </si>
  <si>
    <t>Matthew Kessel</t>
  </si>
  <si>
    <t>2023-24 Upper Deck Parkhurst - Prominent Prospects - Purple #PP-BF - Brock Faber [Passed Pre‑Grade Review] #15/99</t>
  </si>
  <si>
    <t>Brock Faber</t>
  </si>
  <si>
    <t>2023-24 Upper Deck Allure - [Base] - Hypnosis #124 - Rookies - Matthew Kessel [Passed Pre‑Grade Review]</t>
  </si>
  <si>
    <t>$16.53</t>
  </si>
  <si>
    <t>2023-24 Upper Deck Allure</t>
  </si>
  <si>
    <t>2023-24 O-Pee-Chee Platinum - [Base] - NHL Shield Variations #203 - Marquee Rookies - Adam Fantilli [PSA 10 GEM MT]</t>
  </si>
  <si>
    <t>$124.13 | $65.56 | $65.93</t>
  </si>
  <si>
    <t>$40.99</t>
  </si>
  <si>
    <t>$124.13</t>
  </si>
  <si>
    <t>Adam Fantilli</t>
  </si>
  <si>
    <t>2023-24 O-Pee-Chee Platinum - [Base] - Red Prism #201 - Marquee Rookies - Connor Bedard [PSA 9 MINT] #70/199</t>
  </si>
  <si>
    <t>$170.48 | $300.6 | $263.23</t>
  </si>
  <si>
    <t>$170.48</t>
  </si>
  <si>
    <t>$300.6</t>
  </si>
  <si>
    <t>2024-25 SPx - [Base] - Gold #137 - Rookies - Zachary Bolduc</t>
  </si>
  <si>
    <t>$15.92</t>
  </si>
  <si>
    <t>Zachary Bolduc</t>
  </si>
  <si>
    <t>2024-25 SPx</t>
  </si>
  <si>
    <t>2024-25 SPx - [Base] #151 - Extended Rookies - Jakub Dobes</t>
  </si>
  <si>
    <t>32</t>
  </si>
  <si>
    <t>$18.98 | $15.92 | $21.57</t>
  </si>
  <si>
    <t>$48.16</t>
  </si>
  <si>
    <t>Jakub Dobes</t>
  </si>
  <si>
    <t>2024-25 SPx - Bound for Glory #BFG-10 - Matvei Michkov</t>
  </si>
  <si>
    <t>$17.64 | $15.24 | $15.74</t>
  </si>
  <si>
    <t>$5.67</t>
  </si>
  <si>
    <t>$29.97</t>
  </si>
  <si>
    <t>2024-25 SPx - [Base] #97 - Connor McDavid</t>
  </si>
  <si>
    <t>$15.92 | $17.98 | $28.15</t>
  </si>
  <si>
    <t>$5.12</t>
  </si>
  <si>
    <t>$28.15</t>
  </si>
  <si>
    <t>2024-25 Skybox Metal Universe - 2013 Retro #RT-2 - Cutter Gauthier</t>
  </si>
  <si>
    <t>$62.06 | $62.49 | $62.19</t>
  </si>
  <si>
    <t>$28.73</t>
  </si>
  <si>
    <t>$62.49</t>
  </si>
  <si>
    <t>Cutter Gauthier</t>
  </si>
  <si>
    <t>2024-25 Skybox Metal Universe - Dawning #2 DW - Macklin Celebrini</t>
  </si>
  <si>
    <t>88</t>
  </si>
  <si>
    <t>$21.19 | $30.45 | $55.57</t>
  </si>
  <si>
    <t>$88.49</t>
  </si>
  <si>
    <t>2024-25 SPx - [Base] - Blue Autographs #101 - Rookies - Mavrik Bourque #80/99</t>
  </si>
  <si>
    <t>$6.81</t>
  </si>
  <si>
    <t>Mavrik Bourque</t>
  </si>
  <si>
    <t>2023-24 O-Pee-Chee Platinum - [Base] - Pond Hockey Variants #203 - Marquee Rookies - Adam Fantilli [PSA 10 GEM MT]</t>
  </si>
  <si>
    <t>2023-24 Upper Deck Allure - Color Flow - Orange Yellow Spectrum #CF-16 - Connor Bedard [PSA 10 GEM MT] #125/199</t>
  </si>
  <si>
    <t>2023-24 Upper Deck Allure - [Base] - Blue Line Auto Jersey #114 - Rookies - Leo Carlsson #28/35</t>
  </si>
  <si>
    <t>$99.59</t>
  </si>
  <si>
    <t>Leo Carlsson</t>
  </si>
  <si>
    <t>2024-25 Upper Deck Credentials - Acetate Debut Ticket Access #DTAA-RM - Rutger McGroarty #128/199</t>
  </si>
  <si>
    <t>$18.52</t>
  </si>
  <si>
    <t>2024-25 Upper Deck Credentials</t>
  </si>
  <si>
    <t>2025 Upper Deck GR8 Moments - [Base] #GR-1 - (Oct. 5, 2005) - Alex Ovechkin Scores Twice in Debut</t>
  </si>
  <si>
    <t>$16.75 | $11.67 | $14.6</t>
  </si>
  <si>
    <t>$11.67</t>
  </si>
  <si>
    <t>$16.75</t>
  </si>
  <si>
    <t>2024-25 Upper Deck Fleer Ultra - Ultra Team #UT 15 OF 40 - Matvei Michkov</t>
  </si>
  <si>
    <t>$16.51 | $16.75 | $17.79</t>
  </si>
  <si>
    <t>$16.51</t>
  </si>
  <si>
    <t>$18.31</t>
  </si>
  <si>
    <t>2024-25 Upper Deck Fleer Ultra</t>
  </si>
  <si>
    <t>2024-25 Upper Deck Fleer Ultra - [Base] - Silver Foil #204 - Rookies - Lane Hutson</t>
  </si>
  <si>
    <t>$19.47 | $22.41 | $16.29</t>
  </si>
  <si>
    <t>$16.29</t>
  </si>
  <si>
    <t>$22.41</t>
  </si>
  <si>
    <t>2025 Upper Deck DC x NHL Crossover - [Base] #1 - Wayne Gretzky</t>
  </si>
  <si>
    <t>$12.8 | $16.24 | $10.24</t>
  </si>
  <si>
    <t>$6.95</t>
  </si>
  <si>
    <t>$37.03</t>
  </si>
  <si>
    <t>Wayne Gretzky</t>
  </si>
  <si>
    <t>2025 Upper Deck DC x NHL Crossover</t>
  </si>
  <si>
    <t>2025 Upper Deck DC x NHL Crossover - [Base] - Gold #4 - Superman™ &amp; Krypto™</t>
  </si>
  <si>
    <t>$3.99 | $15.32</t>
  </si>
  <si>
    <t>$3.99</t>
  </si>
  <si>
    <t>$15.32</t>
  </si>
  <si>
    <t>Superman™ &amp; Krypto™</t>
  </si>
  <si>
    <t>2025 Upper Deck DC x NHL Crossover - [Base] - Silver #4 - Superman™ &amp; Krypto™</t>
  </si>
  <si>
    <t>$18.21 | $12.6 | $12.6</t>
  </si>
  <si>
    <t>$18.21</t>
  </si>
  <si>
    <t>2025 Upper Deck DC x NHL Crossover - [Base] - Canvas Achievement #3 - Superman™</t>
  </si>
  <si>
    <t>18</t>
  </si>
  <si>
    <t>$16.75 | $12.5 | $17.08</t>
  </si>
  <si>
    <t>$6.99</t>
  </si>
  <si>
    <t>$17.08</t>
  </si>
  <si>
    <t>Superman™</t>
  </si>
  <si>
    <t>2024-25 Upper Deck Credentials - Retro Ticket Access Auto Rookies #RTAR-CG - SP - Cutter Gauthier</t>
  </si>
  <si>
    <t>$82.4</t>
  </si>
  <si>
    <t>2024-25 Upper Deck Credentials - [Base] - Autographs #145 - Debut Ticket Access - Collin Graf #163/199</t>
  </si>
  <si>
    <t>$17.7 | $24.21 | $28.33</t>
  </si>
  <si>
    <t>$30.27</t>
  </si>
  <si>
    <t>Collin Graf</t>
  </si>
  <si>
    <t>2024-25 Upper Deck Fleer Ultra - [Base] - Blue Foil #64 - Leo Carlsson #65/399</t>
  </si>
  <si>
    <t>$4.86 | $27.3</t>
  </si>
  <si>
    <t>$4.86</t>
  </si>
  <si>
    <t>$27.3</t>
  </si>
  <si>
    <t>2024-25 Upper Deck Series 2 - [Base] - Outburst #461 - Young Guns - Oliver Kapanen</t>
  </si>
  <si>
    <t>$92.4 | $46.01 | $65.27</t>
  </si>
  <si>
    <t>$138.93</t>
  </si>
  <si>
    <t>2024 Fleer Scooby Doo - S-S-Scared S-S-Sketches #SKT - Ryan Finley</t>
  </si>
  <si>
    <t>$71.35</t>
  </si>
  <si>
    <t>Ryan Finley</t>
  </si>
  <si>
    <t>2024 Fleer Scooby Doo</t>
  </si>
  <si>
    <t>2023-24 O-Pee-Chee Platinum - [Base] - Red Prism #293 - Marquee Rookies - Leo Carlsson [PSA 10 GEM MT] #53/199</t>
  </si>
  <si>
    <t>$172.99 | $162.96 | $160.13</t>
  </si>
  <si>
    <t>$160.13</t>
  </si>
  <si>
    <t>$198.21</t>
  </si>
  <si>
    <t>2023-24 O-Pee-Chee Platinum - [Base] - Violet Pixels #201 - Marquee Rookies - Connor Bedard [PSA 10 GEM MT] #260/299</t>
  </si>
  <si>
    <t>$479.4 | $358.66 | $488.23</t>
  </si>
  <si>
    <t>$358.66</t>
  </si>
  <si>
    <t>$488.23</t>
  </si>
  <si>
    <t>2023-24 O-Pee-Chee Platinum - [Base] - Pond Hockey Variants #202 - Marquee Rookies - Logan Cooley [PSA 10 GEM MT]</t>
  </si>
  <si>
    <t>$50.09 | $169.38 | $209.96</t>
  </si>
  <si>
    <t>$50.09</t>
  </si>
  <si>
    <t>$209.96</t>
  </si>
  <si>
    <t>Logan Cooley</t>
  </si>
  <si>
    <t>2023-24 O-Pee-Chee Platinum - [Base] - Emerald Surge #14 - Jake Sanderson #1/10</t>
  </si>
  <si>
    <t>11</t>
  </si>
  <si>
    <t>$75.71 | $136.86 | $87.77</t>
  </si>
  <si>
    <t>$25.89</t>
  </si>
  <si>
    <t>$182.65</t>
  </si>
  <si>
    <t>Jake Sanderson</t>
  </si>
  <si>
    <t>2023-24 O-Pee-Chee Platinum - [Base] - Emerald Surge #53 - Nick Suzuki [PSA 10 GEM MT] #10/10</t>
  </si>
  <si>
    <t>2023-24 Upper Deck Series 1 - [Base] #248 - Young Guns - Luke Hughes [PSA 9 MINT]</t>
  </si>
  <si>
    <t>$63.31 | $35.3 | $24.85</t>
  </si>
  <si>
    <t>$22.0</t>
  </si>
  <si>
    <t>$63.31</t>
  </si>
  <si>
    <t>Luke Hughes</t>
  </si>
  <si>
    <t>1998-99 In the Game Be A Player - [Base] - Gold 20th National Atlanta #284 - Curtis Joseph #8/10</t>
  </si>
  <si>
    <t>Curtis Joseph</t>
  </si>
  <si>
    <t>1998-99 In the Game Be A Player</t>
  </si>
  <si>
    <t>2020-21 Upper Deck - [Base] - Photo Variation #419 - Auston Matthews [Poor to Fair]</t>
  </si>
  <si>
    <t>$14.61 | $15.06 | $15.38</t>
  </si>
  <si>
    <t>$15.38</t>
  </si>
  <si>
    <t>2020-21 Upper Deck</t>
  </si>
  <si>
    <t>2024-25 Upper Deck PWHL - [Base] - Outburst #52 - Young Guns - Noora Tulus</t>
  </si>
  <si>
    <t>$17.92 | $12.06 | $20.2</t>
  </si>
  <si>
    <t>$20.2</t>
  </si>
  <si>
    <t>Noora Tulus</t>
  </si>
  <si>
    <t>2024-25 Upper Deck PWHL</t>
  </si>
  <si>
    <t>2024-25 SPx - Excellence Redefined - Red #EX-9 - Connor Bedard, Nathan MacKinnon #9/10</t>
  </si>
  <si>
    <t>$313.3 | $554.6</t>
  </si>
  <si>
    <t>$313.3</t>
  </si>
  <si>
    <t>$554.6</t>
  </si>
  <si>
    <t>2024-25 Upper Deck Extended Series - [Base] #701 - Young Guns - Will Smith</t>
  </si>
  <si>
    <t>$43.0 | $62.86 | $59.99</t>
  </si>
  <si>
    <t>$40.36</t>
  </si>
  <si>
    <t>$62.86</t>
  </si>
  <si>
    <t>Will Smith</t>
  </si>
  <si>
    <t>2025 Upper Deck Team Canada Juniors - [Base] - Outburst #42 - Alex Huang</t>
  </si>
  <si>
    <t>$3.64 | $3.5 | $2.91</t>
  </si>
  <si>
    <t>$2.59</t>
  </si>
  <si>
    <t>Alex Huang</t>
  </si>
  <si>
    <t>2025 Upper Deck Team Canada Juniors</t>
  </si>
  <si>
    <t>2025 Upper Deck Team Canada Juniors - [Base] - Red Foil #12 - Keaton Verhoeff</t>
  </si>
  <si>
    <t>31</t>
  </si>
  <si>
    <t>$5.93 | $12.16 | $7.49</t>
  </si>
  <si>
    <t>$2.56</t>
  </si>
  <si>
    <t>$19.42</t>
  </si>
  <si>
    <t>Keaton Verhoeff</t>
  </si>
  <si>
    <t>2025 Upper Deck Team Canada Juniors - [Base] - Jersey #85 - Pride of the Program - Gavin McKenna</t>
  </si>
  <si>
    <t>38</t>
  </si>
  <si>
    <t>$2.91 | $4.38 | $6.11</t>
  </si>
  <si>
    <t>$15.33</t>
  </si>
  <si>
    <t>Gavin McKenna</t>
  </si>
  <si>
    <t>2025 Upper Deck Team Canada Juniors - Team Canada FX #FX-24 - Chloe Primerano</t>
  </si>
  <si>
    <t>$20.79</t>
  </si>
  <si>
    <t>Chloe Primerano</t>
  </si>
  <si>
    <t>2025 Upper Deck Team Canada Juniors - [Base] - Auto Patch #12 - Keaton Verhoeff #128/150</t>
  </si>
  <si>
    <t>$13.19 | $10.79</t>
  </si>
  <si>
    <t>$10.79</t>
  </si>
  <si>
    <t>$13.19</t>
  </si>
  <si>
    <t>2025 Upper Deck Team Canada Juniors - License to Ice #LI-23 - Chloe Primerano</t>
  </si>
  <si>
    <t>2024-25 O-Pee-Chee Platinum - [Base] - Rainbow #206 - Marquee Rookies - Frank Nazar</t>
  </si>
  <si>
    <t>$11.46</t>
  </si>
  <si>
    <t>2024-25 O-Pee-Chee Platinum</t>
  </si>
  <si>
    <t>2024-25 O-Pee-Chee Platinum - [Base] - Rainbow #300 - Marquee Rookies - Sebastian Cossa</t>
  </si>
  <si>
    <t>21</t>
  </si>
  <si>
    <t>$6.57 | $18.05 | $14.71</t>
  </si>
  <si>
    <t>$24.45</t>
  </si>
  <si>
    <t>Sebastian Cossa</t>
  </si>
  <si>
    <t>2024-25 O-Pee-Chee Platinum - [Base] - Rainbow #278 - Marquee Rookies - Will Smith</t>
  </si>
  <si>
    <t>$14.61 | $23.37</t>
  </si>
  <si>
    <t>$23.37</t>
  </si>
  <si>
    <t>2024-25 O-Pee-Chee Platinum - O-Pee-Chee Premier #OP8 - Connor Bedard</t>
  </si>
  <si>
    <t>$18.03 | $22.6 | $21.74</t>
  </si>
  <si>
    <t>$14.18</t>
  </si>
  <si>
    <t>$23.42</t>
  </si>
  <si>
    <t>2023-24 SPx - Finite Rookies - Silver Spectrum #F-3 - Matthew Knies #24/49</t>
  </si>
  <si>
    <t>$147.96 | $110.25 | $95.97</t>
  </si>
  <si>
    <t>$95.97</t>
  </si>
  <si>
    <t>$147.96</t>
  </si>
  <si>
    <t>2024-25 O-Pee-Chee Platinum - [Base] - Violet Pixels #300 - Marquee Rookies - Sebastian Cossa #48/299</t>
  </si>
  <si>
    <t>$7.3</t>
  </si>
  <si>
    <t>2024-25 O-Pee-Chee Platinum - [Base] - Seismic Gold #46 - Lucas Raymond #20/50</t>
  </si>
  <si>
    <t>$39.03 | $34.97</t>
  </si>
  <si>
    <t>$34.97</t>
  </si>
  <si>
    <t>$39.03</t>
  </si>
  <si>
    <t>Lucas Raymond</t>
  </si>
  <si>
    <t>2024-25 O-Pee-Chee Platinum - Retro - Blue Luster #R82 - Rookies - Shakir Mukhamadullin #92/100</t>
  </si>
  <si>
    <t>$6.42</t>
  </si>
  <si>
    <t>Shakir Mukhamadullin</t>
  </si>
  <si>
    <t>2024-25 O-Pee-Chee Platinum - [Base] - Violet Pixels #273 - Marquee Rookies - Ivan Ivan #292/299</t>
  </si>
  <si>
    <t>$2.11</t>
  </si>
  <si>
    <t>Ivan Ivan</t>
  </si>
  <si>
    <t>2025 Upper Deck GR8 Moments - [Base] - Red #GR-8 - (Apr. 6, 2025) - Alex Ovechkin Breaks NHL Goals Record</t>
  </si>
  <si>
    <t>41</t>
  </si>
  <si>
    <t>$16.75 | $19.73 | $49.72</t>
  </si>
  <si>
    <t>$49.72</t>
  </si>
  <si>
    <t>2025 Upper Deck GR8 Moments - [Base] - Blue #GR-7 - (Dec. 13, 2022) - Alex Ovechkin Scores 800th Goal</t>
  </si>
  <si>
    <t>2024-25 O-Pee-Chee Platinum - [Base] - Arctic Freeze #263 - Marquee Rookies - Macklin Celebrini #1/99</t>
  </si>
  <si>
    <t>$605.0 | $824.61</t>
  </si>
  <si>
    <t>$605.0</t>
  </si>
  <si>
    <t>$824.61</t>
  </si>
  <si>
    <t>2024-25 O-Pee-Chee Platinum - [Base] - Violet Pixels #281 - Marquee Rookies - Jonathan Lekkerimaki #2/299</t>
  </si>
  <si>
    <t>$10.6 | $12.14</t>
  </si>
  <si>
    <t>$10.6</t>
  </si>
  <si>
    <t>$12.14</t>
  </si>
  <si>
    <t>Jonathan Lekkerimaki</t>
  </si>
  <si>
    <t>2024-25 O-Pee-Chee Platinum - [Base] - Red Prism #263 - Marquee Rookies - Macklin Celebrini #2/199</t>
  </si>
  <si>
    <t>$317.45</t>
  </si>
  <si>
    <t>2024-25 Upper Deck Series 2 - Day with the Cup #DC10 - Anton Lundell</t>
  </si>
  <si>
    <t>$57.0 | $33.95</t>
  </si>
  <si>
    <t>$33.95</t>
  </si>
  <si>
    <t>$57.0</t>
  </si>
  <si>
    <t>Anton Lundell</t>
  </si>
  <si>
    <t>2025-26 Upper Deck Series 1 - Dazzlers - Blue #DZ-39 - Lane Hutson</t>
  </si>
  <si>
    <t>68</t>
  </si>
  <si>
    <t>$13.26 | $16.18 | $17.44</t>
  </si>
  <si>
    <t>$5.11</t>
  </si>
  <si>
    <t>$37.58</t>
  </si>
  <si>
    <t>2025-26 Upper Deck Series 1</t>
  </si>
  <si>
    <t>2025-26 Upper Deck Series 1 - Encore #E-36 - Ivan Demidov</t>
  </si>
  <si>
    <t>119</t>
  </si>
  <si>
    <t>$19.85 | $18.28 | $19.47</t>
  </si>
  <si>
    <t>$42.39</t>
  </si>
  <si>
    <t>Ivan Demidov</t>
  </si>
  <si>
    <t>2025-26 Upper Deck Series 1 - [Base] #201 - Young Guns - Artyom Levshunov</t>
  </si>
  <si>
    <t>187</t>
  </si>
  <si>
    <t>$20.15 | $12.05 | $24.89</t>
  </si>
  <si>
    <t>$6.39</t>
  </si>
  <si>
    <t>$52.02</t>
  </si>
  <si>
    <t>Artyom Levshunov</t>
  </si>
  <si>
    <t>2025-26 Upper Deck Series 1 - [Base] #202 - Young Guns - Gabe Perreault</t>
  </si>
  <si>
    <t>195</t>
  </si>
  <si>
    <t>$20.21 | $10.0 | $16.04</t>
  </si>
  <si>
    <t>$26.0</t>
  </si>
  <si>
    <t>Gabe Perreault</t>
  </si>
  <si>
    <t>2025-26 Upper Deck Series 1 - [Base] #207 - Young Guns - Jimmy Snuggerud</t>
  </si>
  <si>
    <t>204</t>
  </si>
  <si>
    <t>$22.66 | $22.72 | $28.98</t>
  </si>
  <si>
    <t>$5.47</t>
  </si>
  <si>
    <t>$40.0</t>
  </si>
  <si>
    <t>Jimmy Snuggerud</t>
  </si>
  <si>
    <t>2025-26 Upper Deck Series 1 - [Base] #226 - Young Guns - Dalibor Dvorsky</t>
  </si>
  <si>
    <t>198</t>
  </si>
  <si>
    <t>$22.26 | $17.12 | $6.5</t>
  </si>
  <si>
    <t>$3.65</t>
  </si>
  <si>
    <t>$25.67</t>
  </si>
  <si>
    <t>Dalibor Dvorsky</t>
  </si>
  <si>
    <t>2025-26 Upper Deck Series 1 - [Base] #248 - Young Guns - Sam Rinzel</t>
  </si>
  <si>
    <t>190</t>
  </si>
  <si>
    <t>$16.04 | $16.78 | $5.82</t>
  </si>
  <si>
    <t>$3.39</t>
  </si>
  <si>
    <t>$26.32</t>
  </si>
  <si>
    <t>Sam Rinzel</t>
  </si>
  <si>
    <t>2025 Topps Chrome Sapphire Edition Spongebob Squarepants 25th Anniversary - [Base] #89 - "I Need It!"</t>
  </si>
  <si>
    <t>85</t>
  </si>
  <si>
    <t>$11.46 | $24.7 | $20.2</t>
  </si>
  <si>
    <t>$10.38</t>
  </si>
  <si>
    <t>$49.77</t>
  </si>
  <si>
    <t>"I Need It!"</t>
  </si>
  <si>
    <t>2025 Topps Chrome Sapphire Edition Spongebob Squarepants 25th Anniversary</t>
  </si>
  <si>
    <t>2024 Upper Deck PWHL 1st Edition - [Base] - Deluxe #59 - Young Guns - Emma Maltais [PSA 9 MINT] #48/250</t>
  </si>
  <si>
    <t>$99.0</t>
  </si>
  <si>
    <t>Emma Maltais</t>
  </si>
  <si>
    <t>2024 Upper Deck PWHL 1st Edition - UD Portraits - Gold #P-2 - Marie-Philip Poulin [PSA 10 GEM MT] #82/299</t>
  </si>
  <si>
    <t>$106.03</t>
  </si>
  <si>
    <t>2024 Upper Deck PWHL 1st Edition - [Base] #61 - Young Guns - Taylor Heise [PSA 8 NM‑MT]</t>
  </si>
  <si>
    <t>$58.0 | $74.1</t>
  </si>
  <si>
    <t>$58.0</t>
  </si>
  <si>
    <t>$74.1</t>
  </si>
  <si>
    <t>Taylor Heise</t>
  </si>
  <si>
    <t>2024-25 Upper Deck Series 1 - [Base] #244 - Young Guns - Logan Stankoven</t>
  </si>
  <si>
    <t>82</t>
  </si>
  <si>
    <t>$4.11 | $4.24 | $8.0</t>
  </si>
  <si>
    <t>$16.08</t>
  </si>
  <si>
    <t>Logan Stankoven</t>
  </si>
  <si>
    <t>2025 Topps Chrome Sapphire Edition Spongebob Squarepants 25th Anniversary - [Base] #67 - "No This is Patrick"</t>
  </si>
  <si>
    <t>78</t>
  </si>
  <si>
    <t>$31.07 | $10.53 | $11.67</t>
  </si>
  <si>
    <t>$9.71</t>
  </si>
  <si>
    <t>$39.31</t>
  </si>
  <si>
    <t>"No This is Patrick"</t>
  </si>
  <si>
    <t>2023-24 O-Pee-Chee Platinum - Photo Driven - Red Pixel #PD-6 - Auston Matthews [PSA 10 GEM MT] #75/85</t>
  </si>
  <si>
    <t>2023-24 SPx - [Base] - Purple Parallax #134 - Rookies - Matthew Knies [PSA 9 MINT] #85/149</t>
  </si>
  <si>
    <t>2024-25 Upper Deck Series 2 - [Base] #492 - Young Guns - Matvei Michkov [PSA 7 NM]</t>
  </si>
  <si>
    <t>$38.7 | $36.46</t>
  </si>
  <si>
    <t>$36.46</t>
  </si>
  <si>
    <t>$38.7</t>
  </si>
  <si>
    <t>2025-26 Upper Deck Series 1 - Bootlegs #BL-18 - Artyom Levshunov</t>
  </si>
  <si>
    <t>$187.91</t>
  </si>
  <si>
    <t>2024-25 O-Pee-Chee Platinum - Rookie Autographs - Red Prism #R-LB - Lian Bichsel #21/30</t>
  </si>
  <si>
    <t>$59.49</t>
  </si>
  <si>
    <t>2024-25 Upper Deck Series 2 - Young Guns Renewed #201.3 - Connor McDavid [PSA 9 MINT]</t>
  </si>
  <si>
    <t>2024-25 Upper Deck Series 2 - UD Canvas #C161 - Joseph Woll [PSA 10 GEM MT]</t>
  </si>
  <si>
    <t>Joseph Woll</t>
  </si>
  <si>
    <t>2024-25 Upper Deck Series 2 - [Base] #451 - Young Guns - Macklin Celebrini [PSA 8 NM‑MT]</t>
  </si>
  <si>
    <t>49</t>
  </si>
  <si>
    <t>$329.73 | $319.48 | $368.0</t>
  </si>
  <si>
    <t>$165.5</t>
  </si>
  <si>
    <t>$431.31</t>
  </si>
  <si>
    <t>2021 Bowman Chrome - [Base] - Blue Refractor #49 - Alejandro Kirk [PSA 9 MINT] #113/150</t>
  </si>
  <si>
    <t>Alejandro Kirk</t>
  </si>
  <si>
    <t>2021 Bowman Chrome</t>
  </si>
  <si>
    <t>2025-26 Upper Deck Series 1 - [Base] - Deluxe #236 - Young Guns - Zayne Parekh #106/250</t>
  </si>
  <si>
    <t>$184.56 | $196.18 | $142.88</t>
  </si>
  <si>
    <t>$65.87</t>
  </si>
  <si>
    <t>$196.18</t>
  </si>
  <si>
    <t>Zayne Parekh</t>
  </si>
  <si>
    <t>2023-24 O-Pee-Chee Platinum - [Base] - Pond Hockey Variants #205 - Marquee Rookies - Matthew Knies</t>
  </si>
  <si>
    <t>$67.62 | $105.14 | $50.85</t>
  </si>
  <si>
    <t>$50.85</t>
  </si>
  <si>
    <t>$105.14</t>
  </si>
  <si>
    <t>2024-25 SPx - [Base] #166 - Rookie Holograms - Macklin Celebrini [PSA 8 NM‑MT]</t>
  </si>
  <si>
    <t>CARD COLLECTION — PRICE REPORT</t>
  </si>
  <si>
    <t>OVERVIEW</t>
  </si>
  <si>
    <t>Total Cards in List</t>
  </si>
  <si>
    <t>Cards Priced</t>
  </si>
  <si>
    <t>Manual Entries</t>
  </si>
  <si>
    <t>Cards Under $5</t>
  </si>
  <si>
    <t>VALUATION  (edit Fair Value on 'All Cards' sheet to update)</t>
  </si>
  <si>
    <t>GRAND TOTAL</t>
  </si>
  <si>
    <t xml:space="preserve">  Scraped (eBay)</t>
  </si>
  <si>
    <t xml:space="preserve">  Manual Comps</t>
  </si>
  <si>
    <t>VALUE BY CONFIDENCE</t>
  </si>
  <si>
    <t>High (112 cards)</t>
  </si>
  <si>
    <t>Medium (7 cards)</t>
  </si>
  <si>
    <t>Low (46 cards)</t>
  </si>
  <si>
    <t>Estimated (6 cards)</t>
  </si>
  <si>
    <t>Manual (18 cards)</t>
  </si>
  <si>
    <t>VALUE TIERS</t>
  </si>
  <si>
    <t># Cards</t>
  </si>
  <si>
    <t>Total USD</t>
  </si>
  <si>
    <t>$0 – $5</t>
  </si>
  <si>
    <t>$5 – $25</t>
  </si>
  <si>
    <t>$25 – $100</t>
  </si>
  <si>
    <t>$100 – $500</t>
  </si>
  <si>
    <t>$500+</t>
  </si>
  <si>
    <t>TOP 10 MOST VALUABLE  (snapshot ranking — values update live)</t>
  </si>
  <si>
    <t>USD</t>
  </si>
  <si>
    <t>Low</t>
  </si>
  <si>
    <t>High</t>
  </si>
  <si>
    <t>Estimated</t>
  </si>
  <si>
    <t>Manual</t>
  </si>
  <si>
    <t>CONFIDENCE LEGEND</t>
  </si>
  <si>
    <t>Direct eBay comp — full query matched variant + serial + set</t>
  </si>
  <si>
    <t>Medium</t>
  </si>
  <si>
    <t>Set-level comp — dropped parallel/variant name</t>
  </si>
  <si>
    <t>Broad fallback — player + card# + year only</t>
  </si>
  <si>
    <t>Nearby print-run comp adjusted by serial multiplier</t>
  </si>
  <si>
    <t>No eBay sales — price entered manually</t>
  </si>
  <si>
    <t>Under $5</t>
  </si>
  <si>
    <t>Low-value flag — red rows on All Cards sheet</t>
  </si>
  <si>
    <t>VALUE BY PLAYER  (totals update when you edit All Cards)</t>
  </si>
  <si>
    <t>Edit Fair Value on 'All Cards' sheet (yellow column) — totals here update automatically</t>
  </si>
  <si>
    <t>VALUE BY SET  (totals update when you edit All Cards)</t>
  </si>
  <si>
    <t>Set Name</t>
  </si>
  <si>
    <t>VISUAL ANALYSIS  (charts update when Fair Value is edited)</t>
  </si>
  <si>
    <t>Value USD</t>
  </si>
  <si>
    <t>Tier</t>
  </si>
  <si>
    <t>Player / Card</t>
  </si>
  <si>
    <t>O-Pee-Chee Platinum</t>
  </si>
  <si>
    <t>Upper Deck Series 2</t>
  </si>
  <si>
    <t>Upper Deck PWHL 1st Edition</t>
  </si>
  <si>
    <t>SPx</t>
  </si>
  <si>
    <t>Upper Deck Series 1</t>
  </si>
  <si>
    <t>Upper Deck Allure</t>
  </si>
  <si>
    <t>Live Count:</t>
  </si>
  <si>
    <t>Fair Value (USD)</t>
  </si>
  <si>
    <t>CARDS UNDER $5  (snapshot list — values link to All Cards)</t>
  </si>
  <si>
    <t>Prices link to 'All Cards' sheet. If a price changes above $5, use the All Cards filter for a live view.</t>
  </si>
  <si>
    <t>Live count of cards under $5:</t>
  </si>
  <si>
    <t>—</t>
  </si>
  <si>
    <t>MANUALLY PRICED CARDS  (18 cards) — prices link to All Cards</t>
  </si>
  <si>
    <t>Manual Price (USD)</t>
  </si>
  <si>
    <t>No eBay sold listings — comp price entered manually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</si>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</sst>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sz val="9"/>
      <color rgb="FF666666"/>
      <name val="Calibri"/>
    </font>
    <font>
      <b/>
      <sz val="20"/>
      <color rgb="FFFFFFFF"/>
      <name val="Calibri"/>
    </font>
    <font>
      <b/>
      <sz val="12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3"/>
      <color rgb="FFFFFFFF"/>
      <name val="Calibri"/>
    </font>
    <font>
      <i/>
      <sz val="9"/>
      <color rgb="FF666666"/>
      <name val="Calibri"/>
    </font>
    <font>
      <b/>
      <sz val="11"/>
      <name val="Calibri"/>
    </font>
    <font>
      <sz val="9"/>
      <color rgb="FFAAAAAA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0A000"/>
      </patternFill>
    </fill>
    <fill>
      <patternFill patternType="solid">
        <fgColor rgb="FF555555"/>
      </patternFill>
    </fill>
    <fill>
      <patternFill patternType="solid">
        <fgColor rgb="FFF2F2F2"/>
      </patternFill>
    </fill>
    <fill>
      <patternFill patternType="solid">
        <fgColor rgb="FFFFFDE7"/>
      </patternFill>
    </fill>
    <fill>
      <patternFill patternType="solid">
        <fgColor rgb="FFFFEB9C"/>
      </patternFill>
    </fill>
    <fill>
      <patternFill patternType="solid">
        <fgColor rgb="FFEFEFEF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E2CFEA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164" fontId="3" fillId="6" borderId="1" xfId="0" applyNumberFormat="1" applyFont="1" applyFill="1" applyBorder="1" applyAlignment="1">
      <alignment horizontal="right"/>
    </xf>
    <xf numFmtId="0" fontId="2" fillId="7" borderId="1" xfId="0" applyFont="1" applyFill="1" applyBorder="1" applyAlignment="1">
      <alignment horizontal="center"/>
    </xf>
    <xf numFmtId="0" fontId="2" fillId="6" borderId="1" xfId="0" applyFont="1" applyFill="1" applyBorder="1"/>
    <xf numFmtId="0" fontId="4" fillId="8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/>
    <xf numFmtId="164" fontId="2" fillId="6" borderId="1" xfId="0" applyNumberFormat="1" applyFont="1" applyFill="1" applyBorder="1" applyAlignment="1">
      <alignment horizontal="right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/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7" fillId="13" borderId="1" xfId="0" applyFont="1" applyFill="1" applyBorder="1"/>
    <xf numFmtId="0" fontId="7" fillId="13" borderId="1" xfId="0" applyFont="1" applyFill="1" applyBorder="1" applyAlignment="1">
      <alignment horizontal="right"/>
    </xf>
    <xf numFmtId="0" fontId="7" fillId="11" borderId="1" xfId="0" applyFont="1" applyFill="1" applyBorder="1"/>
    <xf numFmtId="0" fontId="7" fillId="11" borderId="1" xfId="0" applyFont="1" applyFill="1" applyBorder="1" applyAlignment="1">
      <alignment horizontal="right"/>
    </xf>
    <xf numFmtId="0" fontId="9" fillId="16" borderId="1" xfId="0" applyFont="1" applyFill="1" applyBorder="1"/>
    <xf numFmtId="164" fontId="9" fillId="16" borderId="1" xfId="0" applyNumberFormat="1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4" fontId="7" fillId="13" borderId="1" xfId="0" applyNumberFormat="1" applyFont="1" applyFill="1" applyBorder="1" applyAlignment="1">
      <alignment horizontal="right"/>
    </xf>
    <xf numFmtId="0" fontId="7" fillId="10" borderId="1" xfId="0" applyFont="1" applyFill="1" applyBorder="1"/>
    <xf numFmtId="164" fontId="7" fillId="10" borderId="1" xfId="0" applyNumberFormat="1" applyFont="1" applyFill="1" applyBorder="1" applyAlignment="1">
      <alignment horizontal="right"/>
    </xf>
    <xf numFmtId="0" fontId="7" fillId="12" borderId="1" xfId="0" applyFont="1" applyFill="1" applyBorder="1"/>
    <xf numFmtId="164" fontId="7" fillId="12" borderId="1" xfId="0" applyNumberFormat="1" applyFont="1" applyFill="1" applyBorder="1" applyAlignment="1">
      <alignment horizontal="right"/>
    </xf>
    <xf numFmtId="0" fontId="7" fillId="7" borderId="1" xfId="0" applyFont="1" applyFill="1" applyBorder="1"/>
    <xf numFmtId="164" fontId="7" fillId="7" borderId="1" xfId="0" applyNumberFormat="1" applyFont="1" applyFill="1" applyBorder="1" applyAlignment="1">
      <alignment horizontal="right"/>
    </xf>
    <xf numFmtId="0" fontId="7" fillId="14" borderId="1" xfId="0" applyFont="1" applyFill="1" applyBorder="1"/>
    <xf numFmtId="164" fontId="7" fillId="14" borderId="1" xfId="0" applyNumberFormat="1" applyFont="1" applyFill="1" applyBorder="1" applyAlignment="1">
      <alignment horizontal="right"/>
    </xf>
    <xf numFmtId="0" fontId="0" fillId="2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164" fontId="2" fillId="9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0" fontId="2" fillId="7" borderId="1" xfId="0" applyFont="1" applyFill="1" applyBorder="1"/>
    <xf numFmtId="164" fontId="3" fillId="7" borderId="1" xfId="0" applyNumberFormat="1" applyFont="1" applyFill="1" applyBorder="1" applyAlignment="1">
      <alignment horizontal="right"/>
    </xf>
    <xf numFmtId="0" fontId="2" fillId="10" borderId="1" xfId="0" applyFont="1" applyFill="1" applyBorder="1"/>
    <xf numFmtId="164" fontId="3" fillId="10" borderId="1" xfId="0" applyNumberFormat="1" applyFont="1" applyFill="1" applyBorder="1" applyAlignment="1">
      <alignment horizontal="right"/>
    </xf>
    <xf numFmtId="0" fontId="2" fillId="14" borderId="1" xfId="0" applyFont="1" applyFill="1" applyBorder="1"/>
    <xf numFmtId="164" fontId="3" fillId="14" borderId="1" xfId="0" applyNumberFormat="1" applyFont="1" applyFill="1" applyBorder="1" applyAlignment="1">
      <alignment horizontal="right"/>
    </xf>
    <xf numFmtId="0" fontId="2" fillId="13" borderId="1" xfId="0" applyFont="1" applyFill="1" applyBorder="1"/>
    <xf numFmtId="164" fontId="3" fillId="13" borderId="1" xfId="0" applyNumberFormat="1" applyFont="1" applyFill="1" applyBorder="1" applyAlignment="1">
      <alignment horizontal="right"/>
    </xf>
    <xf numFmtId="0" fontId="3" fillId="10" borderId="1" xfId="0" applyFont="1" applyFill="1" applyBorder="1"/>
    <xf numFmtId="0" fontId="3" fillId="12" borderId="1" xfId="0" applyFont="1" applyFill="1" applyBorder="1"/>
    <xf numFmtId="0" fontId="3" fillId="7" borderId="1" xfId="0" applyFont="1" applyFill="1" applyBorder="1"/>
    <xf numFmtId="0" fontId="3" fillId="14" borderId="1" xfId="0" applyFont="1" applyFill="1" applyBorder="1"/>
    <xf numFmtId="0" fontId="3" fillId="13" borderId="1" xfId="0" applyFont="1" applyFill="1" applyBorder="1"/>
    <xf numFmtId="0" fontId="3" fillId="11" borderId="1" xfId="0" applyFont="1" applyFill="1" applyBorder="1"/>
    <xf numFmtId="0" fontId="8" fillId="15" borderId="1" xfId="0" applyFont="1" applyFill="1" applyBorder="1" applyAlignment="1">
      <alignment horizontal="center"/>
    </xf>
    <xf numFmtId="0" fontId="12" fillId="0" borderId="0" xfId="0" applyFont="1"/>
    <xf numFmtId="164" fontId="0" fillId="0" borderId="0" xfId="0" applyNumberFormat="1"/>
    <xf numFmtId="0" fontId="13" fillId="0" borderId="0" xfId="0" applyFont="1"/>
    <xf numFmtId="0" fontId="3" fillId="6" borderId="1" xfId="0" applyFont="1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right"/>
    </xf>
    <xf numFmtId="0" fontId="3" fillId="16" borderId="1" xfId="0" applyFont="1" applyFill="1" applyBorder="1"/>
    <xf numFmtId="0" fontId="0" fillId="16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13" borderId="1" xfId="0" applyFont="1" applyFill="1" applyBorder="1"/>
    <xf numFmtId="164" fontId="9" fillId="13" borderId="1" xfId="0" applyNumberFormat="1" applyFont="1" applyFill="1" applyBorder="1" applyAlignment="1">
      <alignment horizontal="right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2" fillId="12" borderId="1" xfId="0" applyFont="1" applyFill="1" applyBorder="1"/>
    <xf numFmtId="0" fontId="2" fillId="13" borderId="1" xfId="0" applyFont="1" applyFill="1" applyBorder="1"/>
    <xf numFmtId="0" fontId="2" fillId="11" borderId="1" xfId="0" applyFont="1" applyFill="1" applyBorder="1"/>
    <xf numFmtId="0" fontId="5" fillId="2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2" fillId="7" borderId="1" xfId="0" applyFont="1" applyFill="1" applyBorder="1"/>
    <xf numFmtId="0" fontId="2" fillId="14" borderId="1" xfId="0" applyFont="1" applyFill="1" applyBorder="1"/>
    <xf numFmtId="0" fontId="8" fillId="15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2" fillId="10" borderId="1" xfId="0" applyFont="1" applyFill="1" applyBorder="1"/>
    <xf numFmtId="0" fontId="10" fillId="2" borderId="0" xfId="0" applyFont="1" applyFill="1" applyAlignment="1">
      <alignment horizontal="center" vertical="center"/>
    </xf>
    <xf numFmtId="0" fontId="11" fillId="0" borderId="0" xfId="0" applyFont="1"/>
    <xf numFmtId="0" fontId="8" fillId="17" borderId="0" xfId="0" applyFont="1" applyFill="1" applyAlignment="1">
      <alignment horizontal="center"/>
    </xf>
    <xf numFmtId="0" fontId="8" fillId="19" borderId="0" xfId="0" applyFont="1" applyFill="1" applyAlignment="1">
      <alignment horizontal="center"/>
    </xf>
    <xf numFmtId="0" fontId="8" fillId="18" borderId="0" xfId="0" applyFont="1" applyFill="1" applyAlignment="1">
      <alignment horizontal="center"/>
    </xf>
    <xf numFmtId="0" fontId="8" fillId="21" borderId="0" xfId="0" applyFont="1" applyFill="1" applyAlignment="1">
      <alignment horizontal="center"/>
    </xf>
    <xf numFmtId="0" fontId="8" fillId="20" borderId="0" xfId="0" applyFont="1" applyFill="1" applyAlignment="1">
      <alignment horizontal="center"/>
    </xf>
    <xf numFmtId="0" fontId="6" fillId="2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Value by Confidence Tier (USD)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Value USD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Charts!$A$4:$A$8</c:f>
              <c:strCache>
                <c:ptCount val="5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Estimated</c:v>
                </c:pt>
                <c:pt idx="4">
                  <c:v>Manual</c:v>
                </c:pt>
              </c:strCache>
            </c:strRef>
          </c:cat>
          <c:val>
            <c:numRef>
              <c:f>Charts!$B$4:$B$8</c:f>
              <c:numCache>
                <c:formatCode>"$"#,##0.00</c:formatCode>
                <c:ptCount val="5"/>
                <c:pt idx="0">
                  <c:v>3487.0099999999989</c:v>
                </c:pt>
                <c:pt idx="1">
                  <c:v>177.79999999999998</c:v>
                </c:pt>
                <c:pt idx="2">
                  <c:v>2917.0600000000009</c:v>
                </c:pt>
                <c:pt idx="3">
                  <c:v>339.53999999999996</c:v>
                </c:pt>
                <c:pt idx="4">
                  <c:v>1170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B-469D-824D-A6CA20BDB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Cards by Value Tier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Charts!$P$3</c:f>
              <c:strCache>
                <c:ptCount val="1"/>
                <c:pt idx="0">
                  <c:v># Cards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Charts!$O$4:$O$8</c:f>
              <c:strCache>
                <c:ptCount val="5"/>
                <c:pt idx="0">
                  <c:v>$0 – $5</c:v>
                </c:pt>
                <c:pt idx="1">
                  <c:v>$5 – $25</c:v>
                </c:pt>
                <c:pt idx="2">
                  <c:v>$25 – $100</c:v>
                </c:pt>
                <c:pt idx="3">
                  <c:v>$100 – $500</c:v>
                </c:pt>
                <c:pt idx="4">
                  <c:v>$500+</c:v>
                </c:pt>
              </c:strCache>
            </c:strRef>
          </c:cat>
          <c:val>
            <c:numRef>
              <c:f>Charts!$P$4:$P$8</c:f>
              <c:numCache>
                <c:formatCode>General</c:formatCode>
                <c:ptCount val="5"/>
                <c:pt idx="0">
                  <c:v>21</c:v>
                </c:pt>
                <c:pt idx="1">
                  <c:v>109</c:v>
                </c:pt>
                <c:pt idx="2">
                  <c:v>39</c:v>
                </c:pt>
                <c:pt idx="3">
                  <c:v>19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4-4596-B68E-3C81DD689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# Cards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Top 10 Most Valuable Cards (USD)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Charts!$B$20</c:f>
              <c:strCache>
                <c:ptCount val="1"/>
                <c:pt idx="0">
                  <c:v>USD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Charts!$A$21:$A$30</c:f>
              <c:strCache>
                <c:ptCount val="10"/>
                <c:pt idx="0">
                  <c:v>Macklin Celebrini</c:v>
                </c:pt>
                <c:pt idx="1">
                  <c:v>Connor Bedard</c:v>
                </c:pt>
                <c:pt idx="2">
                  <c:v>Macklin Celebrini</c:v>
                </c:pt>
                <c:pt idx="3">
                  <c:v>Macklin Celebrini</c:v>
                </c:pt>
                <c:pt idx="4">
                  <c:v>Connor Bedard</c:v>
                </c:pt>
                <c:pt idx="5">
                  <c:v>Connor Bedard</c:v>
                </c:pt>
                <c:pt idx="6">
                  <c:v>Connor Bedard</c:v>
                </c:pt>
                <c:pt idx="7">
                  <c:v>Connor Bedard</c:v>
                </c:pt>
                <c:pt idx="8">
                  <c:v>Logan Cooley</c:v>
                </c:pt>
                <c:pt idx="9">
                  <c:v>Nick Suzuki</c:v>
                </c:pt>
              </c:strCache>
            </c:strRef>
          </c:cat>
          <c:val>
            <c:numRef>
              <c:f>Charts!$B$21:$B$30</c:f>
              <c:numCache>
                <c:formatCode>"$"#,##0.00</c:formatCode>
                <c:ptCount val="10"/>
                <c:pt idx="0">
                  <c:v>5.64</c:v>
                </c:pt>
                <c:pt idx="1">
                  <c:v>10</c:v>
                </c:pt>
                <c:pt idx="2">
                  <c:v>2.11</c:v>
                </c:pt>
                <c:pt idx="3">
                  <c:v>5.34</c:v>
                </c:pt>
                <c:pt idx="4">
                  <c:v>8.0399999999999991</c:v>
                </c:pt>
                <c:pt idx="5">
                  <c:v>13.19</c:v>
                </c:pt>
                <c:pt idx="6">
                  <c:v>59.49</c:v>
                </c:pt>
                <c:pt idx="7">
                  <c:v>14.61</c:v>
                </c:pt>
                <c:pt idx="8">
                  <c:v>10</c:v>
                </c:pt>
                <c:pt idx="9">
                  <c:v>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0-47AD-8D7B-6B0D7C10C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USD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Card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Top 10 Sets by Total Value (USD)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Charts!$P$20</c:f>
              <c:strCache>
                <c:ptCount val="1"/>
                <c:pt idx="0">
                  <c:v>USD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Charts!$O$21:$O$30</c:f>
              <c:strCache>
                <c:ptCount val="10"/>
                <c:pt idx="0">
                  <c:v>O-Pee-Chee Platinum</c:v>
                </c:pt>
                <c:pt idx="1">
                  <c:v>O-Pee-Chee Platinum</c:v>
                </c:pt>
                <c:pt idx="2">
                  <c:v>Upper Deck Series 2</c:v>
                </c:pt>
                <c:pt idx="3">
                  <c:v>Upper Deck PWHL 1st Edition</c:v>
                </c:pt>
                <c:pt idx="4">
                  <c:v>SPx</c:v>
                </c:pt>
                <c:pt idx="5">
                  <c:v>Upper Deck Series 1</c:v>
                </c:pt>
                <c:pt idx="6">
                  <c:v>Upper Deck Allure</c:v>
                </c:pt>
                <c:pt idx="7">
                  <c:v>Upper Deck Series 2</c:v>
                </c:pt>
                <c:pt idx="8">
                  <c:v>SPx</c:v>
                </c:pt>
                <c:pt idx="9">
                  <c:v>Upper Deck Series 1</c:v>
                </c:pt>
              </c:strCache>
            </c:strRef>
          </c:cat>
          <c:val>
            <c:numRef>
              <c:f>Charts!$P$21:$P$30</c:f>
              <c:numCache>
                <c:formatCode>"$"#,##0.00</c:formatCode>
                <c:ptCount val="10"/>
                <c:pt idx="0">
                  <c:v>1874.2800000000007</c:v>
                </c:pt>
                <c:pt idx="1">
                  <c:v>1109.9199999999998</c:v>
                </c:pt>
                <c:pt idx="2">
                  <c:v>1021.7700000000002</c:v>
                </c:pt>
                <c:pt idx="3">
                  <c:v>776.87</c:v>
                </c:pt>
                <c:pt idx="4">
                  <c:v>598.39999999999986</c:v>
                </c:pt>
                <c:pt idx="5">
                  <c:v>525.21</c:v>
                </c:pt>
                <c:pt idx="6">
                  <c:v>416.12</c:v>
                </c:pt>
                <c:pt idx="7">
                  <c:v>292.07</c:v>
                </c:pt>
                <c:pt idx="8">
                  <c:v>120</c:v>
                </c:pt>
                <c:pt idx="9">
                  <c:v>136.44999999999999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C-4E06-82B0-CE2380854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0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2</xdr:row>
      <xdr:rowOff>0</xdr:rowOff>
    </xdr:from>
    <xdr:ext cx="50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648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19</xdr:row>
      <xdr:rowOff>0</xdr:rowOff>
    </xdr:from>
    <xdr:ext cx="648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"/>
  <sheetViews>
    <sheetView showGridLines="0" tabSelected="1" workbookViewId="0">
      <pane xSplit="2" ySplit="1" topLeftCell="C38" activePane="bottomRight" state="frozen"/>
      <selection pane="topRight"/>
      <selection pane="bottomLeft"/>
      <selection pane="bottomRight" activeCell="D193" sqref="D193"/>
    </sheetView>
  </sheetViews>
  <sheetFormatPr defaultRowHeight="15" x14ac:dyDescent="0.25"/>
  <cols>
    <col min="1" max="1" width="5" customWidth="1"/>
    <col min="2" max="2" width="97.28515625" customWidth="1"/>
    <col min="3" max="3" width="13.5703125" customWidth="1"/>
    <col min="4" max="4" width="13" customWidth="1"/>
    <col min="5" max="5" width="10.85546875" customWidth="1"/>
    <col min="6" max="6" width="36" customWidth="1"/>
    <col min="7" max="8" width="10" customWidth="1"/>
    <col min="9" max="9" width="28" customWidth="1"/>
    <col min="10" max="10" width="22" customWidth="1"/>
    <col min="11" max="11" width="45" customWidth="1"/>
  </cols>
  <sheetData>
    <row r="1" spans="1:11" ht="21.9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</row>
    <row r="2" spans="1:11" x14ac:dyDescent="0.25">
      <c r="A2" s="4">
        <v>161</v>
      </c>
      <c r="B2" s="5" t="s">
        <v>714</v>
      </c>
      <c r="C2" s="6">
        <v>605</v>
      </c>
      <c r="D2" s="7" t="s">
        <v>12</v>
      </c>
      <c r="E2" s="5" t="s">
        <v>29</v>
      </c>
      <c r="F2" s="5" t="s">
        <v>715</v>
      </c>
      <c r="G2" s="5" t="s">
        <v>716</v>
      </c>
      <c r="H2" s="5" t="s">
        <v>717</v>
      </c>
      <c r="I2" s="8"/>
      <c r="J2" s="9" t="s">
        <v>229</v>
      </c>
      <c r="K2" s="9" t="s">
        <v>679</v>
      </c>
    </row>
    <row r="3" spans="1:11" x14ac:dyDescent="0.25">
      <c r="A3" s="10">
        <v>134</v>
      </c>
      <c r="B3" s="11" t="s">
        <v>611</v>
      </c>
      <c r="C3" s="6">
        <v>479.4</v>
      </c>
      <c r="D3" s="7" t="s">
        <v>12</v>
      </c>
      <c r="E3" s="11" t="s">
        <v>326</v>
      </c>
      <c r="F3" s="11" t="s">
        <v>612</v>
      </c>
      <c r="G3" s="11" t="s">
        <v>613</v>
      </c>
      <c r="H3" s="11" t="s">
        <v>614</v>
      </c>
      <c r="I3" s="8"/>
      <c r="J3" s="9" t="s">
        <v>110</v>
      </c>
      <c r="K3" s="9" t="s">
        <v>214</v>
      </c>
    </row>
    <row r="4" spans="1:11" x14ac:dyDescent="0.25">
      <c r="A4" s="4">
        <v>185</v>
      </c>
      <c r="B4" s="5" t="s">
        <v>811</v>
      </c>
      <c r="C4" s="6">
        <v>368</v>
      </c>
      <c r="D4" s="13" t="s">
        <v>22</v>
      </c>
      <c r="E4" s="5" t="s">
        <v>812</v>
      </c>
      <c r="F4" s="5" t="s">
        <v>813</v>
      </c>
      <c r="G4" s="5" t="s">
        <v>814</v>
      </c>
      <c r="H4" s="5" t="s">
        <v>815</v>
      </c>
      <c r="I4" s="8"/>
      <c r="J4" s="9" t="s">
        <v>229</v>
      </c>
      <c r="K4" s="9" t="s">
        <v>195</v>
      </c>
    </row>
    <row r="5" spans="1:11" x14ac:dyDescent="0.25">
      <c r="A5" s="4">
        <v>163</v>
      </c>
      <c r="B5" s="5" t="s">
        <v>723</v>
      </c>
      <c r="C5" s="6">
        <v>317.45</v>
      </c>
      <c r="D5" s="13" t="s">
        <v>22</v>
      </c>
      <c r="E5" s="5" t="s">
        <v>13</v>
      </c>
      <c r="F5" s="5" t="s">
        <v>724</v>
      </c>
      <c r="G5" s="5" t="s">
        <v>724</v>
      </c>
      <c r="H5" s="5" t="s">
        <v>724</v>
      </c>
      <c r="I5" s="8"/>
      <c r="J5" s="9" t="s">
        <v>229</v>
      </c>
      <c r="K5" s="9" t="s">
        <v>679</v>
      </c>
    </row>
    <row r="6" spans="1:11" x14ac:dyDescent="0.25">
      <c r="A6" s="10">
        <v>142</v>
      </c>
      <c r="B6" s="11" t="s">
        <v>644</v>
      </c>
      <c r="C6" s="6">
        <v>313.3</v>
      </c>
      <c r="D6" s="18" t="s">
        <v>123</v>
      </c>
      <c r="E6" s="11" t="s">
        <v>29</v>
      </c>
      <c r="F6" s="11" t="s">
        <v>645</v>
      </c>
      <c r="G6" s="11" t="s">
        <v>646</v>
      </c>
      <c r="H6" s="11" t="s">
        <v>647</v>
      </c>
      <c r="I6" s="8"/>
      <c r="J6" s="9" t="s">
        <v>110</v>
      </c>
      <c r="K6" s="9" t="s">
        <v>523</v>
      </c>
    </row>
    <row r="7" spans="1:11" x14ac:dyDescent="0.25">
      <c r="A7" s="10">
        <v>118</v>
      </c>
      <c r="B7" s="11" t="s">
        <v>550</v>
      </c>
      <c r="C7" s="6">
        <v>300</v>
      </c>
      <c r="D7" s="17" t="s">
        <v>77</v>
      </c>
      <c r="E7" s="11"/>
      <c r="F7" s="11"/>
      <c r="G7" s="11"/>
      <c r="H7" s="11"/>
      <c r="I7" s="8"/>
      <c r="J7" s="9" t="s">
        <v>110</v>
      </c>
      <c r="K7" s="9" t="s">
        <v>510</v>
      </c>
    </row>
    <row r="8" spans="1:11" x14ac:dyDescent="0.25">
      <c r="A8" s="4">
        <v>31</v>
      </c>
      <c r="B8" s="5" t="s">
        <v>174</v>
      </c>
      <c r="C8" s="6">
        <v>273.77</v>
      </c>
      <c r="D8" s="13" t="s">
        <v>22</v>
      </c>
      <c r="E8" s="5" t="s">
        <v>175</v>
      </c>
      <c r="F8" s="5" t="s">
        <v>176</v>
      </c>
      <c r="G8" s="5" t="s">
        <v>177</v>
      </c>
      <c r="H8" s="5" t="s">
        <v>178</v>
      </c>
      <c r="I8" s="8"/>
      <c r="J8" s="9" t="s">
        <v>110</v>
      </c>
      <c r="K8" s="9" t="s">
        <v>104</v>
      </c>
    </row>
    <row r="9" spans="1:11" x14ac:dyDescent="0.25">
      <c r="A9" s="4">
        <v>109</v>
      </c>
      <c r="B9" s="5" t="s">
        <v>516</v>
      </c>
      <c r="C9" s="6">
        <v>263.23</v>
      </c>
      <c r="D9" s="7" t="s">
        <v>12</v>
      </c>
      <c r="E9" s="5" t="s">
        <v>128</v>
      </c>
      <c r="F9" s="5" t="s">
        <v>517</v>
      </c>
      <c r="G9" s="5" t="s">
        <v>518</v>
      </c>
      <c r="H9" s="5" t="s">
        <v>519</v>
      </c>
      <c r="I9" s="8"/>
      <c r="J9" s="9" t="s">
        <v>110</v>
      </c>
      <c r="K9" s="9" t="s">
        <v>214</v>
      </c>
    </row>
    <row r="10" spans="1:11" x14ac:dyDescent="0.25">
      <c r="A10" s="4">
        <v>135</v>
      </c>
      <c r="B10" s="5" t="s">
        <v>615</v>
      </c>
      <c r="C10" s="6">
        <v>150</v>
      </c>
      <c r="D10" s="7" t="s">
        <v>12</v>
      </c>
      <c r="E10" s="5" t="s">
        <v>216</v>
      </c>
      <c r="F10" s="5" t="s">
        <v>616</v>
      </c>
      <c r="G10" s="5" t="s">
        <v>617</v>
      </c>
      <c r="H10" s="5" t="s">
        <v>618</v>
      </c>
      <c r="I10" s="8"/>
      <c r="J10" s="9" t="s">
        <v>619</v>
      </c>
      <c r="K10" s="9" t="s">
        <v>214</v>
      </c>
    </row>
    <row r="11" spans="1:11" x14ac:dyDescent="0.25">
      <c r="A11" s="4">
        <v>137</v>
      </c>
      <c r="B11" s="5" t="s">
        <v>626</v>
      </c>
      <c r="C11" s="6">
        <v>200</v>
      </c>
      <c r="D11" s="17" t="s">
        <v>77</v>
      </c>
      <c r="E11" s="5" t="s">
        <v>118</v>
      </c>
      <c r="F11" s="5"/>
      <c r="G11" s="5" t="s">
        <v>119</v>
      </c>
      <c r="H11" s="5" t="s">
        <v>119</v>
      </c>
      <c r="I11" s="8"/>
      <c r="J11" s="9" t="s">
        <v>295</v>
      </c>
      <c r="K11" s="9" t="s">
        <v>214</v>
      </c>
    </row>
    <row r="12" spans="1:11" x14ac:dyDescent="0.25">
      <c r="A12" s="4">
        <v>189</v>
      </c>
      <c r="B12" s="5" t="s">
        <v>828</v>
      </c>
      <c r="C12" s="6">
        <v>200</v>
      </c>
      <c r="D12" s="17" t="s">
        <v>77</v>
      </c>
      <c r="E12" s="5" t="s">
        <v>118</v>
      </c>
      <c r="F12" s="5"/>
      <c r="G12" s="5" t="s">
        <v>119</v>
      </c>
      <c r="H12" s="5" t="s">
        <v>119</v>
      </c>
      <c r="I12" s="8"/>
      <c r="J12" s="9" t="s">
        <v>229</v>
      </c>
      <c r="K12" s="9" t="s">
        <v>523</v>
      </c>
    </row>
    <row r="13" spans="1:11" x14ac:dyDescent="0.25">
      <c r="A13" s="4">
        <v>187</v>
      </c>
      <c r="B13" s="5" t="s">
        <v>819</v>
      </c>
      <c r="C13" s="6">
        <v>196.18</v>
      </c>
      <c r="D13" s="13" t="s">
        <v>22</v>
      </c>
      <c r="E13" s="5" t="s">
        <v>139</v>
      </c>
      <c r="F13" s="5" t="s">
        <v>820</v>
      </c>
      <c r="G13" s="5" t="s">
        <v>821</v>
      </c>
      <c r="H13" s="5" t="s">
        <v>822</v>
      </c>
      <c r="I13" s="8"/>
      <c r="J13" s="9" t="s">
        <v>823</v>
      </c>
      <c r="K13" s="9" t="s">
        <v>735</v>
      </c>
    </row>
    <row r="14" spans="1:11" x14ac:dyDescent="0.25">
      <c r="A14" s="4">
        <v>181</v>
      </c>
      <c r="B14" s="5" t="s">
        <v>804</v>
      </c>
      <c r="C14" s="6">
        <v>187.91</v>
      </c>
      <c r="D14" s="13" t="s">
        <v>22</v>
      </c>
      <c r="E14" s="5" t="s">
        <v>13</v>
      </c>
      <c r="F14" s="5" t="s">
        <v>805</v>
      </c>
      <c r="G14" s="5" t="s">
        <v>805</v>
      </c>
      <c r="H14" s="5" t="s">
        <v>805</v>
      </c>
      <c r="I14" s="8"/>
      <c r="J14" s="9" t="s">
        <v>746</v>
      </c>
      <c r="K14" s="9" t="s">
        <v>735</v>
      </c>
    </row>
    <row r="15" spans="1:11" x14ac:dyDescent="0.25">
      <c r="A15" s="4">
        <v>133</v>
      </c>
      <c r="B15" s="5" t="s">
        <v>607</v>
      </c>
      <c r="C15" s="6">
        <v>162.96</v>
      </c>
      <c r="D15" s="7" t="s">
        <v>12</v>
      </c>
      <c r="E15" s="5" t="s">
        <v>210</v>
      </c>
      <c r="F15" s="5" t="s">
        <v>608</v>
      </c>
      <c r="G15" s="5" t="s">
        <v>609</v>
      </c>
      <c r="H15" s="5" t="s">
        <v>610</v>
      </c>
      <c r="I15" s="8"/>
      <c r="J15" s="9" t="s">
        <v>553</v>
      </c>
      <c r="K15" s="9" t="s">
        <v>214</v>
      </c>
    </row>
    <row r="16" spans="1:11" x14ac:dyDescent="0.25">
      <c r="A16" s="10">
        <v>154</v>
      </c>
      <c r="B16" s="11" t="s">
        <v>692</v>
      </c>
      <c r="C16" s="6">
        <v>20</v>
      </c>
      <c r="D16" s="7" t="s">
        <v>12</v>
      </c>
      <c r="E16" s="11" t="s">
        <v>326</v>
      </c>
      <c r="F16" s="11" t="s">
        <v>693</v>
      </c>
      <c r="G16" s="11" t="s">
        <v>694</v>
      </c>
      <c r="H16" s="11" t="s">
        <v>695</v>
      </c>
      <c r="I16" s="8"/>
      <c r="J16" s="9" t="s">
        <v>189</v>
      </c>
      <c r="K16" s="9" t="s">
        <v>378</v>
      </c>
    </row>
    <row r="17" spans="1:11" x14ac:dyDescent="0.25">
      <c r="A17" s="10">
        <v>136</v>
      </c>
      <c r="B17" s="11" t="s">
        <v>620</v>
      </c>
      <c r="C17" s="6">
        <v>30</v>
      </c>
      <c r="D17" s="7" t="s">
        <v>12</v>
      </c>
      <c r="E17" s="11" t="s">
        <v>621</v>
      </c>
      <c r="F17" s="11" t="s">
        <v>622</v>
      </c>
      <c r="G17" s="11" t="s">
        <v>623</v>
      </c>
      <c r="H17" s="11" t="s">
        <v>624</v>
      </c>
      <c r="I17" s="8"/>
      <c r="J17" s="9" t="s">
        <v>625</v>
      </c>
      <c r="K17" s="9" t="s">
        <v>214</v>
      </c>
    </row>
    <row r="18" spans="1:11" x14ac:dyDescent="0.25">
      <c r="A18" s="10">
        <v>108</v>
      </c>
      <c r="B18" s="11" t="s">
        <v>511</v>
      </c>
      <c r="C18" s="6">
        <v>124.13</v>
      </c>
      <c r="D18" s="7" t="s">
        <v>12</v>
      </c>
      <c r="E18" s="11" t="s">
        <v>128</v>
      </c>
      <c r="F18" s="11" t="s">
        <v>512</v>
      </c>
      <c r="G18" s="11" t="s">
        <v>513</v>
      </c>
      <c r="H18" s="11" t="s">
        <v>514</v>
      </c>
      <c r="I18" s="8"/>
      <c r="J18" s="9" t="s">
        <v>515</v>
      </c>
      <c r="K18" s="9" t="s">
        <v>214</v>
      </c>
    </row>
    <row r="19" spans="1:11" x14ac:dyDescent="0.25">
      <c r="A19" s="4">
        <v>117</v>
      </c>
      <c r="B19" s="5" t="s">
        <v>549</v>
      </c>
      <c r="C19" s="6">
        <v>124.13</v>
      </c>
      <c r="D19" s="7" t="s">
        <v>12</v>
      </c>
      <c r="E19" s="5" t="s">
        <v>128</v>
      </c>
      <c r="F19" s="5" t="s">
        <v>512</v>
      </c>
      <c r="G19" s="5" t="s">
        <v>513</v>
      </c>
      <c r="H19" s="5" t="s">
        <v>514</v>
      </c>
      <c r="I19" s="8"/>
      <c r="J19" s="9" t="s">
        <v>515</v>
      </c>
      <c r="K19" s="9" t="s">
        <v>214</v>
      </c>
    </row>
    <row r="20" spans="1:11" x14ac:dyDescent="0.25">
      <c r="A20" s="10">
        <v>174</v>
      </c>
      <c r="B20" s="11" t="s">
        <v>780</v>
      </c>
      <c r="C20" s="6">
        <v>106.03</v>
      </c>
      <c r="D20" s="7" t="s">
        <v>12</v>
      </c>
      <c r="E20" s="11" t="s">
        <v>13</v>
      </c>
      <c r="F20" s="11" t="s">
        <v>781</v>
      </c>
      <c r="G20" s="11" t="s">
        <v>781</v>
      </c>
      <c r="H20" s="11" t="s">
        <v>781</v>
      </c>
      <c r="I20" s="8"/>
      <c r="J20" s="9" t="s">
        <v>344</v>
      </c>
      <c r="K20" s="9" t="s">
        <v>312</v>
      </c>
    </row>
    <row r="21" spans="1:11" x14ac:dyDescent="0.25">
      <c r="A21" s="10">
        <v>188</v>
      </c>
      <c r="B21" s="11" t="s">
        <v>824</v>
      </c>
      <c r="C21" s="6">
        <v>105.14</v>
      </c>
      <c r="D21" s="13" t="s">
        <v>22</v>
      </c>
      <c r="E21" s="11" t="s">
        <v>326</v>
      </c>
      <c r="F21" s="11" t="s">
        <v>825</v>
      </c>
      <c r="G21" s="11" t="s">
        <v>826</v>
      </c>
      <c r="H21" s="11" t="s">
        <v>827</v>
      </c>
      <c r="I21" s="8"/>
      <c r="J21" s="9" t="s">
        <v>189</v>
      </c>
      <c r="K21" s="9" t="s">
        <v>214</v>
      </c>
    </row>
    <row r="22" spans="1:11" x14ac:dyDescent="0.25">
      <c r="A22" s="4">
        <v>91</v>
      </c>
      <c r="B22" s="5" t="s">
        <v>446</v>
      </c>
      <c r="C22" s="6">
        <v>100.15</v>
      </c>
      <c r="D22" s="13" t="s">
        <v>22</v>
      </c>
      <c r="E22" s="5" t="s">
        <v>268</v>
      </c>
      <c r="F22" s="5" t="s">
        <v>447</v>
      </c>
      <c r="G22" s="5" t="s">
        <v>448</v>
      </c>
      <c r="H22" s="5" t="s">
        <v>449</v>
      </c>
      <c r="I22" s="8"/>
      <c r="J22" s="9" t="s">
        <v>344</v>
      </c>
      <c r="K22" s="9" t="s">
        <v>312</v>
      </c>
    </row>
    <row r="23" spans="1:11" x14ac:dyDescent="0.25">
      <c r="A23" s="10">
        <v>178</v>
      </c>
      <c r="B23" s="11" t="s">
        <v>798</v>
      </c>
      <c r="C23" s="6">
        <v>100</v>
      </c>
      <c r="D23" s="17" t="s">
        <v>77</v>
      </c>
      <c r="E23" s="11" t="s">
        <v>118</v>
      </c>
      <c r="F23" s="11"/>
      <c r="G23" s="11" t="s">
        <v>119</v>
      </c>
      <c r="H23" s="11" t="s">
        <v>119</v>
      </c>
      <c r="I23" s="8"/>
      <c r="J23" s="9" t="s">
        <v>172</v>
      </c>
      <c r="K23" s="9" t="s">
        <v>214</v>
      </c>
    </row>
    <row r="24" spans="1:11" x14ac:dyDescent="0.25">
      <c r="A24" s="4">
        <v>119</v>
      </c>
      <c r="B24" s="5" t="s">
        <v>551</v>
      </c>
      <c r="C24" s="12">
        <v>99.59</v>
      </c>
      <c r="D24" s="7" t="s">
        <v>12</v>
      </c>
      <c r="E24" s="5" t="s">
        <v>13</v>
      </c>
      <c r="F24" s="5" t="s">
        <v>552</v>
      </c>
      <c r="G24" s="5" t="s">
        <v>552</v>
      </c>
      <c r="H24" s="5" t="s">
        <v>552</v>
      </c>
      <c r="I24" s="8"/>
      <c r="J24" s="9" t="s">
        <v>553</v>
      </c>
      <c r="K24" s="9" t="s">
        <v>510</v>
      </c>
    </row>
    <row r="25" spans="1:11" x14ac:dyDescent="0.25">
      <c r="A25" s="4">
        <v>173</v>
      </c>
      <c r="B25" s="5" t="s">
        <v>777</v>
      </c>
      <c r="C25" s="12">
        <v>99</v>
      </c>
      <c r="D25" s="7" t="s">
        <v>12</v>
      </c>
      <c r="E25" s="5" t="s">
        <v>13</v>
      </c>
      <c r="F25" s="5" t="s">
        <v>778</v>
      </c>
      <c r="G25" s="5" t="s">
        <v>778</v>
      </c>
      <c r="H25" s="5" t="s">
        <v>778</v>
      </c>
      <c r="I25" s="8"/>
      <c r="J25" s="9" t="s">
        <v>779</v>
      </c>
      <c r="K25" s="9" t="s">
        <v>312</v>
      </c>
    </row>
    <row r="26" spans="1:11" x14ac:dyDescent="0.25">
      <c r="A26" s="10">
        <v>12</v>
      </c>
      <c r="B26" s="11" t="s">
        <v>73</v>
      </c>
      <c r="C26" s="12">
        <v>3</v>
      </c>
      <c r="D26" s="13" t="s">
        <v>22</v>
      </c>
      <c r="E26" s="11" t="s">
        <v>13</v>
      </c>
      <c r="F26" s="11" t="s">
        <v>74</v>
      </c>
      <c r="G26" s="11" t="s">
        <v>74</v>
      </c>
      <c r="H26" s="11" t="s">
        <v>74</v>
      </c>
      <c r="I26" s="8"/>
      <c r="J26" s="9" t="s">
        <v>75</v>
      </c>
      <c r="K26" s="9" t="s">
        <v>48</v>
      </c>
    </row>
    <row r="27" spans="1:11" x14ac:dyDescent="0.25">
      <c r="A27" s="10">
        <v>72</v>
      </c>
      <c r="B27" s="11" t="s">
        <v>371</v>
      </c>
      <c r="C27" s="12">
        <v>93.97</v>
      </c>
      <c r="D27" s="13" t="s">
        <v>22</v>
      </c>
      <c r="E27" s="11" t="s">
        <v>29</v>
      </c>
      <c r="F27" s="11" t="s">
        <v>372</v>
      </c>
      <c r="G27" s="11" t="s">
        <v>373</v>
      </c>
      <c r="H27" s="11" t="s">
        <v>374</v>
      </c>
      <c r="I27" s="8"/>
      <c r="J27" s="9" t="s">
        <v>375</v>
      </c>
      <c r="K27" s="9" t="s">
        <v>195</v>
      </c>
    </row>
    <row r="28" spans="1:11" x14ac:dyDescent="0.25">
      <c r="A28" s="10">
        <v>128</v>
      </c>
      <c r="B28" s="11" t="s">
        <v>590</v>
      </c>
      <c r="C28" s="12">
        <v>82.4</v>
      </c>
      <c r="D28" s="7" t="s">
        <v>12</v>
      </c>
      <c r="E28" s="11" t="s">
        <v>13</v>
      </c>
      <c r="F28" s="11" t="s">
        <v>591</v>
      </c>
      <c r="G28" s="11" t="s">
        <v>591</v>
      </c>
      <c r="H28" s="11" t="s">
        <v>591</v>
      </c>
      <c r="I28" s="8"/>
      <c r="J28" s="9" t="s">
        <v>541</v>
      </c>
      <c r="K28" s="9" t="s">
        <v>556</v>
      </c>
    </row>
    <row r="29" spans="1:11" x14ac:dyDescent="0.25">
      <c r="A29" s="10">
        <v>132</v>
      </c>
      <c r="B29" s="11" t="s">
        <v>603</v>
      </c>
      <c r="C29" s="12">
        <v>71.349999999999994</v>
      </c>
      <c r="D29" s="7" t="s">
        <v>12</v>
      </c>
      <c r="E29" s="11" t="s">
        <v>13</v>
      </c>
      <c r="F29" s="11" t="s">
        <v>604</v>
      </c>
      <c r="G29" s="11" t="s">
        <v>604</v>
      </c>
      <c r="H29" s="11" t="s">
        <v>604</v>
      </c>
      <c r="I29" s="8"/>
      <c r="J29" s="9" t="s">
        <v>605</v>
      </c>
      <c r="K29" s="9" t="s">
        <v>606</v>
      </c>
    </row>
    <row r="30" spans="1:11" x14ac:dyDescent="0.25">
      <c r="A30" s="10">
        <v>114</v>
      </c>
      <c r="B30" s="11" t="s">
        <v>537</v>
      </c>
      <c r="C30" s="12">
        <v>62.49</v>
      </c>
      <c r="D30" s="13" t="s">
        <v>22</v>
      </c>
      <c r="E30" s="11" t="s">
        <v>210</v>
      </c>
      <c r="F30" s="11" t="s">
        <v>538</v>
      </c>
      <c r="G30" s="11" t="s">
        <v>539</v>
      </c>
      <c r="H30" s="11" t="s">
        <v>540</v>
      </c>
      <c r="I30" s="8"/>
      <c r="J30" s="9" t="s">
        <v>541</v>
      </c>
      <c r="K30" s="9" t="s">
        <v>495</v>
      </c>
    </row>
    <row r="31" spans="1:11" x14ac:dyDescent="0.25">
      <c r="A31" s="4">
        <v>143</v>
      </c>
      <c r="B31" s="5" t="s">
        <v>648</v>
      </c>
      <c r="C31" s="12">
        <v>59.99</v>
      </c>
      <c r="D31" s="13" t="s">
        <v>22</v>
      </c>
      <c r="E31" s="5" t="s">
        <v>139</v>
      </c>
      <c r="F31" s="5" t="s">
        <v>649</v>
      </c>
      <c r="G31" s="5" t="s">
        <v>650</v>
      </c>
      <c r="H31" s="5" t="s">
        <v>651</v>
      </c>
      <c r="I31" s="8"/>
      <c r="J31" s="9" t="s">
        <v>652</v>
      </c>
      <c r="K31" s="9" t="s">
        <v>433</v>
      </c>
    </row>
    <row r="32" spans="1:11" x14ac:dyDescent="0.25">
      <c r="A32" s="10">
        <v>182</v>
      </c>
      <c r="B32" s="11" t="s">
        <v>806</v>
      </c>
      <c r="C32" s="12">
        <v>59.49</v>
      </c>
      <c r="D32" s="7" t="s">
        <v>12</v>
      </c>
      <c r="E32" s="11" t="s">
        <v>13</v>
      </c>
      <c r="F32" s="11" t="s">
        <v>807</v>
      </c>
      <c r="G32" s="11" t="s">
        <v>807</v>
      </c>
      <c r="H32" s="11" t="s">
        <v>807</v>
      </c>
      <c r="I32" s="8"/>
      <c r="J32" s="9" t="s">
        <v>432</v>
      </c>
      <c r="K32" s="9" t="s">
        <v>679</v>
      </c>
    </row>
    <row r="33" spans="1:11" x14ac:dyDescent="0.25">
      <c r="A33" s="4">
        <v>175</v>
      </c>
      <c r="B33" s="5" t="s">
        <v>782</v>
      </c>
      <c r="C33" s="12">
        <v>58</v>
      </c>
      <c r="D33" s="16" t="s">
        <v>50</v>
      </c>
      <c r="E33" s="5" t="s">
        <v>29</v>
      </c>
      <c r="F33" s="5" t="s">
        <v>783</v>
      </c>
      <c r="G33" s="5" t="s">
        <v>784</v>
      </c>
      <c r="H33" s="5" t="s">
        <v>785</v>
      </c>
      <c r="I33" s="8"/>
      <c r="J33" s="9" t="s">
        <v>786</v>
      </c>
      <c r="K33" s="9" t="s">
        <v>312</v>
      </c>
    </row>
    <row r="34" spans="1:11" x14ac:dyDescent="0.25">
      <c r="A34" s="10">
        <v>164</v>
      </c>
      <c r="B34" s="11" t="s">
        <v>725</v>
      </c>
      <c r="C34" s="12">
        <v>57</v>
      </c>
      <c r="D34" s="13" t="s">
        <v>22</v>
      </c>
      <c r="E34" s="11" t="s">
        <v>29</v>
      </c>
      <c r="F34" s="11" t="s">
        <v>726</v>
      </c>
      <c r="G34" s="11" t="s">
        <v>727</v>
      </c>
      <c r="H34" s="11" t="s">
        <v>728</v>
      </c>
      <c r="I34" s="8"/>
      <c r="J34" s="9" t="s">
        <v>729</v>
      </c>
      <c r="K34" s="9" t="s">
        <v>195</v>
      </c>
    </row>
    <row r="35" spans="1:11" x14ac:dyDescent="0.25">
      <c r="A35" s="10">
        <v>38</v>
      </c>
      <c r="B35" s="11" t="s">
        <v>209</v>
      </c>
      <c r="C35" s="12">
        <v>55.88</v>
      </c>
      <c r="D35" s="7" t="s">
        <v>12</v>
      </c>
      <c r="E35" s="11" t="s">
        <v>210</v>
      </c>
      <c r="F35" s="11" t="s">
        <v>211</v>
      </c>
      <c r="G35" s="11" t="s">
        <v>212</v>
      </c>
      <c r="H35" s="11" t="s">
        <v>213</v>
      </c>
      <c r="I35" s="8"/>
      <c r="J35" s="9" t="s">
        <v>110</v>
      </c>
      <c r="K35" s="9" t="s">
        <v>214</v>
      </c>
    </row>
    <row r="36" spans="1:11" x14ac:dyDescent="0.25">
      <c r="A36" s="4">
        <v>51</v>
      </c>
      <c r="B36" s="5" t="s">
        <v>275</v>
      </c>
      <c r="C36" s="12">
        <v>55.77</v>
      </c>
      <c r="D36" s="13" t="s">
        <v>22</v>
      </c>
      <c r="E36" s="5" t="s">
        <v>276</v>
      </c>
      <c r="F36" s="5" t="s">
        <v>277</v>
      </c>
      <c r="G36" s="5" t="s">
        <v>278</v>
      </c>
      <c r="H36" s="5" t="s">
        <v>279</v>
      </c>
      <c r="I36" s="8"/>
      <c r="J36" s="9" t="s">
        <v>229</v>
      </c>
      <c r="K36" s="9" t="s">
        <v>195</v>
      </c>
    </row>
    <row r="37" spans="1:11" x14ac:dyDescent="0.25">
      <c r="A37" s="4">
        <v>115</v>
      </c>
      <c r="B37" s="5" t="s">
        <v>542</v>
      </c>
      <c r="C37" s="12">
        <v>55.57</v>
      </c>
      <c r="D37" s="13" t="s">
        <v>22</v>
      </c>
      <c r="E37" s="5" t="s">
        <v>543</v>
      </c>
      <c r="F37" s="5" t="s">
        <v>544</v>
      </c>
      <c r="G37" s="5" t="s">
        <v>502</v>
      </c>
      <c r="H37" s="5" t="s">
        <v>545</v>
      </c>
      <c r="I37" s="8"/>
      <c r="J37" s="9" t="s">
        <v>229</v>
      </c>
      <c r="K37" s="9" t="s">
        <v>495</v>
      </c>
    </row>
    <row r="38" spans="1:11" x14ac:dyDescent="0.25">
      <c r="A38" s="4">
        <v>33</v>
      </c>
      <c r="B38" s="5" t="s">
        <v>185</v>
      </c>
      <c r="C38" s="12">
        <v>52.28</v>
      </c>
      <c r="D38" s="7" t="s">
        <v>12</v>
      </c>
      <c r="E38" s="5" t="s">
        <v>128</v>
      </c>
      <c r="F38" s="5" t="s">
        <v>186</v>
      </c>
      <c r="G38" s="5" t="s">
        <v>187</v>
      </c>
      <c r="H38" s="5" t="s">
        <v>188</v>
      </c>
      <c r="I38" s="8"/>
      <c r="J38" s="9" t="s">
        <v>189</v>
      </c>
      <c r="K38" s="9" t="s">
        <v>48</v>
      </c>
    </row>
    <row r="39" spans="1:11" x14ac:dyDescent="0.25">
      <c r="A39" s="4">
        <v>73</v>
      </c>
      <c r="B39" s="5" t="s">
        <v>376</v>
      </c>
      <c r="C39" s="12">
        <v>50</v>
      </c>
      <c r="D39" s="17" t="s">
        <v>77</v>
      </c>
      <c r="E39" s="5" t="s">
        <v>118</v>
      </c>
      <c r="F39" s="5"/>
      <c r="G39" s="5" t="s">
        <v>119</v>
      </c>
      <c r="H39" s="5" t="s">
        <v>119</v>
      </c>
      <c r="I39" s="8"/>
      <c r="J39" s="9" t="s">
        <v>377</v>
      </c>
      <c r="K39" s="9" t="s">
        <v>378</v>
      </c>
    </row>
    <row r="40" spans="1:11" x14ac:dyDescent="0.25">
      <c r="A40" s="4">
        <v>179</v>
      </c>
      <c r="B40" s="5" t="s">
        <v>799</v>
      </c>
      <c r="C40" s="12">
        <v>50</v>
      </c>
      <c r="D40" s="17" t="s">
        <v>77</v>
      </c>
      <c r="E40" s="5" t="s">
        <v>118</v>
      </c>
      <c r="F40" s="5"/>
      <c r="G40" s="5" t="s">
        <v>119</v>
      </c>
      <c r="H40" s="5" t="s">
        <v>119</v>
      </c>
      <c r="I40" s="8"/>
      <c r="J40" s="9" t="s">
        <v>189</v>
      </c>
      <c r="K40" s="9" t="s">
        <v>378</v>
      </c>
    </row>
    <row r="41" spans="1:11" x14ac:dyDescent="0.25">
      <c r="A41" s="4">
        <v>183</v>
      </c>
      <c r="B41" s="5" t="s">
        <v>808</v>
      </c>
      <c r="C41" s="12">
        <v>50</v>
      </c>
      <c r="D41" s="17" t="s">
        <v>77</v>
      </c>
      <c r="E41" s="5" t="s">
        <v>118</v>
      </c>
      <c r="F41" s="5"/>
      <c r="G41" s="5" t="s">
        <v>119</v>
      </c>
      <c r="H41" s="5" t="s">
        <v>119</v>
      </c>
      <c r="I41" s="8"/>
      <c r="J41" s="9" t="s">
        <v>400</v>
      </c>
      <c r="K41" s="9" t="s">
        <v>195</v>
      </c>
    </row>
    <row r="42" spans="1:11" x14ac:dyDescent="0.25">
      <c r="A42" s="10">
        <v>184</v>
      </c>
      <c r="B42" s="11" t="s">
        <v>809</v>
      </c>
      <c r="C42" s="12">
        <v>50</v>
      </c>
      <c r="D42" s="17" t="s">
        <v>77</v>
      </c>
      <c r="E42" s="11" t="s">
        <v>118</v>
      </c>
      <c r="F42" s="11"/>
      <c r="G42" s="11" t="s">
        <v>119</v>
      </c>
      <c r="H42" s="11" t="s">
        <v>119</v>
      </c>
      <c r="I42" s="8"/>
      <c r="J42" s="9" t="s">
        <v>810</v>
      </c>
      <c r="K42" s="9" t="s">
        <v>195</v>
      </c>
    </row>
    <row r="43" spans="1:11" x14ac:dyDescent="0.25">
      <c r="A43" s="10">
        <v>186</v>
      </c>
      <c r="B43" s="11" t="s">
        <v>816</v>
      </c>
      <c r="C43" s="12">
        <v>50</v>
      </c>
      <c r="D43" s="17" t="s">
        <v>77</v>
      </c>
      <c r="E43" s="11" t="s">
        <v>118</v>
      </c>
      <c r="F43" s="11"/>
      <c r="G43" s="11" t="s">
        <v>119</v>
      </c>
      <c r="H43" s="11" t="s">
        <v>119</v>
      </c>
      <c r="I43" s="8"/>
      <c r="J43" s="9" t="s">
        <v>817</v>
      </c>
      <c r="K43" s="9" t="s">
        <v>818</v>
      </c>
    </row>
    <row r="44" spans="1:11" x14ac:dyDescent="0.25">
      <c r="A44" s="4">
        <v>131</v>
      </c>
      <c r="B44" s="5" t="s">
        <v>600</v>
      </c>
      <c r="C44" s="12">
        <v>46.01</v>
      </c>
      <c r="D44" s="13" t="s">
        <v>22</v>
      </c>
      <c r="E44" s="5" t="s">
        <v>332</v>
      </c>
      <c r="F44" s="5" t="s">
        <v>601</v>
      </c>
      <c r="G44" s="5" t="s">
        <v>250</v>
      </c>
      <c r="H44" s="5" t="s">
        <v>602</v>
      </c>
      <c r="I44" s="8"/>
      <c r="J44" s="9" t="s">
        <v>251</v>
      </c>
      <c r="K44" s="9" t="s">
        <v>195</v>
      </c>
    </row>
    <row r="45" spans="1:11" x14ac:dyDescent="0.25">
      <c r="A45" s="10">
        <v>26</v>
      </c>
      <c r="B45" s="11" t="s">
        <v>145</v>
      </c>
      <c r="C45" s="12">
        <v>45.48</v>
      </c>
      <c r="D45" s="13" t="s">
        <v>22</v>
      </c>
      <c r="E45" s="11" t="s">
        <v>128</v>
      </c>
      <c r="F45" s="11" t="s">
        <v>146</v>
      </c>
      <c r="G45" s="11" t="s">
        <v>147</v>
      </c>
      <c r="H45" s="11" t="s">
        <v>148</v>
      </c>
      <c r="I45" s="8"/>
      <c r="J45" s="9" t="s">
        <v>149</v>
      </c>
      <c r="K45" s="9" t="s">
        <v>150</v>
      </c>
    </row>
    <row r="46" spans="1:11" x14ac:dyDescent="0.25">
      <c r="A46" s="10">
        <v>90</v>
      </c>
      <c r="B46" s="11" t="s">
        <v>441</v>
      </c>
      <c r="C46" s="12">
        <v>39.85</v>
      </c>
      <c r="D46" s="13" t="s">
        <v>22</v>
      </c>
      <c r="E46" s="11" t="s">
        <v>442</v>
      </c>
      <c r="F46" s="11" t="s">
        <v>443</v>
      </c>
      <c r="G46" s="11" t="s">
        <v>357</v>
      </c>
      <c r="H46" s="11" t="s">
        <v>444</v>
      </c>
      <c r="I46" s="8"/>
      <c r="J46" s="9" t="s">
        <v>445</v>
      </c>
      <c r="K46" s="9" t="s">
        <v>312</v>
      </c>
    </row>
    <row r="47" spans="1:11" x14ac:dyDescent="0.25">
      <c r="A47" s="10">
        <v>82</v>
      </c>
      <c r="B47" s="11" t="s">
        <v>411</v>
      </c>
      <c r="C47" s="12">
        <v>39.47</v>
      </c>
      <c r="D47" s="13" t="s">
        <v>22</v>
      </c>
      <c r="E47" s="11" t="s">
        <v>13</v>
      </c>
      <c r="F47" s="11" t="s">
        <v>412</v>
      </c>
      <c r="G47" s="11" t="s">
        <v>412</v>
      </c>
      <c r="H47" s="11" t="s">
        <v>412</v>
      </c>
      <c r="I47" s="8"/>
      <c r="J47" s="9" t="s">
        <v>413</v>
      </c>
      <c r="K47" s="9" t="s">
        <v>312</v>
      </c>
    </row>
    <row r="48" spans="1:11" x14ac:dyDescent="0.25">
      <c r="A48" s="10">
        <v>156</v>
      </c>
      <c r="B48" s="11" t="s">
        <v>698</v>
      </c>
      <c r="C48" s="12">
        <v>39.03</v>
      </c>
      <c r="D48" s="7" t="s">
        <v>12</v>
      </c>
      <c r="E48" s="11" t="s">
        <v>29</v>
      </c>
      <c r="F48" s="11" t="s">
        <v>699</v>
      </c>
      <c r="G48" s="11" t="s">
        <v>700</v>
      </c>
      <c r="H48" s="11" t="s">
        <v>701</v>
      </c>
      <c r="I48" s="8"/>
      <c r="J48" s="9" t="s">
        <v>702</v>
      </c>
      <c r="K48" s="9" t="s">
        <v>679</v>
      </c>
    </row>
    <row r="49" spans="1:11" x14ac:dyDescent="0.25">
      <c r="A49" s="10">
        <v>180</v>
      </c>
      <c r="B49" s="11" t="s">
        <v>800</v>
      </c>
      <c r="C49" s="12">
        <v>38.700000000000003</v>
      </c>
      <c r="D49" s="13" t="s">
        <v>22</v>
      </c>
      <c r="E49" s="11" t="s">
        <v>29</v>
      </c>
      <c r="F49" s="11" t="s">
        <v>801</v>
      </c>
      <c r="G49" s="11" t="s">
        <v>802</v>
      </c>
      <c r="H49" s="11" t="s">
        <v>803</v>
      </c>
      <c r="I49" s="8"/>
      <c r="J49" s="9" t="s">
        <v>183</v>
      </c>
      <c r="K49" s="9" t="s">
        <v>195</v>
      </c>
    </row>
    <row r="50" spans="1:11" x14ac:dyDescent="0.25">
      <c r="A50" s="4">
        <v>97</v>
      </c>
      <c r="B50" s="5" t="s">
        <v>470</v>
      </c>
      <c r="C50" s="12">
        <v>37.28</v>
      </c>
      <c r="D50" s="16" t="s">
        <v>50</v>
      </c>
      <c r="E50" s="5" t="s">
        <v>139</v>
      </c>
      <c r="F50" s="5" t="s">
        <v>471</v>
      </c>
      <c r="G50" s="5" t="s">
        <v>472</v>
      </c>
      <c r="H50" s="5" t="s">
        <v>473</v>
      </c>
      <c r="I50" s="8"/>
      <c r="J50" s="9" t="s">
        <v>474</v>
      </c>
      <c r="K50" s="9" t="s">
        <v>312</v>
      </c>
    </row>
    <row r="51" spans="1:11" x14ac:dyDescent="0.25">
      <c r="A51" s="4">
        <v>99</v>
      </c>
      <c r="B51" s="5" t="s">
        <v>480</v>
      </c>
      <c r="C51" s="12">
        <v>36.049999999999997</v>
      </c>
      <c r="D51" s="16" t="s">
        <v>50</v>
      </c>
      <c r="E51" s="5" t="s">
        <v>216</v>
      </c>
      <c r="F51" s="5" t="s">
        <v>481</v>
      </c>
      <c r="G51" s="5" t="s">
        <v>482</v>
      </c>
      <c r="H51" s="5" t="s">
        <v>483</v>
      </c>
      <c r="I51" s="8"/>
      <c r="J51" s="9" t="s">
        <v>344</v>
      </c>
      <c r="K51" s="9" t="s">
        <v>312</v>
      </c>
    </row>
    <row r="52" spans="1:11" x14ac:dyDescent="0.25">
      <c r="A52" s="10">
        <v>138</v>
      </c>
      <c r="B52" s="11" t="s">
        <v>627</v>
      </c>
      <c r="C52" s="12">
        <v>35.299999999999997</v>
      </c>
      <c r="D52" s="13" t="s">
        <v>22</v>
      </c>
      <c r="E52" s="11" t="s">
        <v>197</v>
      </c>
      <c r="F52" s="11" t="s">
        <v>628</v>
      </c>
      <c r="G52" s="11" t="s">
        <v>629</v>
      </c>
      <c r="H52" s="11" t="s">
        <v>630</v>
      </c>
      <c r="I52" s="8"/>
      <c r="J52" s="9" t="s">
        <v>631</v>
      </c>
      <c r="K52" s="9" t="s">
        <v>48</v>
      </c>
    </row>
    <row r="53" spans="1:11" x14ac:dyDescent="0.25">
      <c r="A53" s="10">
        <v>40</v>
      </c>
      <c r="B53" s="11" t="s">
        <v>220</v>
      </c>
      <c r="C53" s="12">
        <v>31.43</v>
      </c>
      <c r="D53" s="13" t="s">
        <v>22</v>
      </c>
      <c r="E53" s="11" t="s">
        <v>29</v>
      </c>
      <c r="F53" s="11" t="s">
        <v>221</v>
      </c>
      <c r="G53" s="11" t="s">
        <v>222</v>
      </c>
      <c r="H53" s="11" t="s">
        <v>223</v>
      </c>
      <c r="I53" s="8"/>
      <c r="J53" s="9" t="s">
        <v>110</v>
      </c>
      <c r="K53" s="9" t="s">
        <v>214</v>
      </c>
    </row>
    <row r="54" spans="1:11" x14ac:dyDescent="0.25">
      <c r="A54" s="10">
        <v>96</v>
      </c>
      <c r="B54" s="11" t="s">
        <v>465</v>
      </c>
      <c r="C54" s="12">
        <v>30.49</v>
      </c>
      <c r="D54" s="13" t="s">
        <v>22</v>
      </c>
      <c r="E54" s="11" t="s">
        <v>43</v>
      </c>
      <c r="F54" s="11" t="s">
        <v>466</v>
      </c>
      <c r="G54" s="11" t="s">
        <v>467</v>
      </c>
      <c r="H54" s="11" t="s">
        <v>468</v>
      </c>
      <c r="I54" s="8"/>
      <c r="J54" s="9" t="s">
        <v>469</v>
      </c>
      <c r="K54" s="9" t="s">
        <v>312</v>
      </c>
    </row>
    <row r="55" spans="1:11" x14ac:dyDescent="0.25">
      <c r="A55" s="4">
        <v>139</v>
      </c>
      <c r="B55" s="5" t="s">
        <v>632</v>
      </c>
      <c r="C55" s="12">
        <v>30</v>
      </c>
      <c r="D55" s="17" t="s">
        <v>77</v>
      </c>
      <c r="E55" s="5"/>
      <c r="F55" s="5"/>
      <c r="G55" s="5"/>
      <c r="H55" s="5"/>
      <c r="I55" s="8"/>
      <c r="J55" s="9" t="s">
        <v>633</v>
      </c>
      <c r="K55" s="9" t="s">
        <v>634</v>
      </c>
    </row>
    <row r="56" spans="1:11" x14ac:dyDescent="0.25">
      <c r="A56" s="4">
        <v>149</v>
      </c>
      <c r="B56" s="5" t="s">
        <v>676</v>
      </c>
      <c r="C56" s="12">
        <v>30</v>
      </c>
      <c r="D56" s="17" t="s">
        <v>77</v>
      </c>
      <c r="E56" s="5" t="s">
        <v>118</v>
      </c>
      <c r="F56" s="5"/>
      <c r="G56" s="5" t="s">
        <v>119</v>
      </c>
      <c r="H56" s="5" t="s">
        <v>119</v>
      </c>
      <c r="I56" s="8"/>
      <c r="J56" s="9" t="s">
        <v>671</v>
      </c>
      <c r="K56" s="9" t="s">
        <v>657</v>
      </c>
    </row>
    <row r="57" spans="1:11" x14ac:dyDescent="0.25">
      <c r="A57" s="4">
        <v>35</v>
      </c>
      <c r="B57" s="5" t="s">
        <v>196</v>
      </c>
      <c r="C57" s="12">
        <v>29.63</v>
      </c>
      <c r="D57" s="13" t="s">
        <v>22</v>
      </c>
      <c r="E57" s="5" t="s">
        <v>197</v>
      </c>
      <c r="F57" s="5" t="s">
        <v>198</v>
      </c>
      <c r="G57" s="5" t="s">
        <v>199</v>
      </c>
      <c r="H57" s="5" t="s">
        <v>200</v>
      </c>
      <c r="I57" s="8"/>
      <c r="J57" s="9" t="s">
        <v>83</v>
      </c>
      <c r="K57" s="9" t="s">
        <v>195</v>
      </c>
    </row>
    <row r="58" spans="1:11" x14ac:dyDescent="0.25">
      <c r="A58" s="4">
        <v>169</v>
      </c>
      <c r="B58" s="5" t="s">
        <v>752</v>
      </c>
      <c r="C58" s="12">
        <v>28.98</v>
      </c>
      <c r="D58" s="13" t="s">
        <v>22</v>
      </c>
      <c r="E58" s="5" t="s">
        <v>753</v>
      </c>
      <c r="F58" s="5" t="s">
        <v>754</v>
      </c>
      <c r="G58" s="5" t="s">
        <v>755</v>
      </c>
      <c r="H58" s="5" t="s">
        <v>756</v>
      </c>
      <c r="I58" s="8"/>
      <c r="J58" s="9" t="s">
        <v>757</v>
      </c>
      <c r="K58" s="9" t="s">
        <v>735</v>
      </c>
    </row>
    <row r="59" spans="1:11" x14ac:dyDescent="0.25">
      <c r="A59" s="4">
        <v>113</v>
      </c>
      <c r="B59" s="5" t="s">
        <v>533</v>
      </c>
      <c r="C59" s="12">
        <v>28.15</v>
      </c>
      <c r="D59" s="13" t="s">
        <v>22</v>
      </c>
      <c r="E59" s="5" t="s">
        <v>100</v>
      </c>
      <c r="F59" s="5" t="s">
        <v>534</v>
      </c>
      <c r="G59" s="5" t="s">
        <v>535</v>
      </c>
      <c r="H59" s="5" t="s">
        <v>536</v>
      </c>
      <c r="I59" s="8"/>
      <c r="J59" s="9" t="s">
        <v>400</v>
      </c>
      <c r="K59" s="9" t="s">
        <v>523</v>
      </c>
    </row>
    <row r="60" spans="1:11" x14ac:dyDescent="0.25">
      <c r="A60" s="10">
        <v>68</v>
      </c>
      <c r="B60" s="11" t="s">
        <v>350</v>
      </c>
      <c r="C60" s="12">
        <v>27.99</v>
      </c>
      <c r="D60" s="13" t="s">
        <v>22</v>
      </c>
      <c r="E60" s="11" t="s">
        <v>139</v>
      </c>
      <c r="F60" s="11" t="s">
        <v>351</v>
      </c>
      <c r="G60" s="11" t="s">
        <v>352</v>
      </c>
      <c r="H60" s="11" t="s">
        <v>353</v>
      </c>
      <c r="I60" s="8"/>
      <c r="J60" s="9" t="s">
        <v>354</v>
      </c>
      <c r="K60" s="9" t="s">
        <v>312</v>
      </c>
    </row>
    <row r="61" spans="1:11" x14ac:dyDescent="0.25">
      <c r="A61" s="4">
        <v>41</v>
      </c>
      <c r="B61" s="5" t="s">
        <v>224</v>
      </c>
      <c r="C61" s="12">
        <v>25.52</v>
      </c>
      <c r="D61" s="13" t="s">
        <v>22</v>
      </c>
      <c r="E61" s="5" t="s">
        <v>225</v>
      </c>
      <c r="F61" s="5" t="s">
        <v>226</v>
      </c>
      <c r="G61" s="5" t="s">
        <v>227</v>
      </c>
      <c r="H61" s="5" t="s">
        <v>228</v>
      </c>
      <c r="I61" s="8"/>
      <c r="J61" s="9" t="s">
        <v>229</v>
      </c>
      <c r="K61" s="9" t="s">
        <v>195</v>
      </c>
    </row>
    <row r="62" spans="1:11" x14ac:dyDescent="0.25">
      <c r="A62" s="10">
        <v>106</v>
      </c>
      <c r="B62" s="11" t="s">
        <v>506</v>
      </c>
      <c r="C62" s="12">
        <v>25</v>
      </c>
      <c r="D62" s="17" t="s">
        <v>77</v>
      </c>
      <c r="E62" s="11" t="s">
        <v>118</v>
      </c>
      <c r="F62" s="11"/>
      <c r="G62" s="11" t="s">
        <v>119</v>
      </c>
      <c r="H62" s="11" t="s">
        <v>119</v>
      </c>
      <c r="I62" s="8"/>
      <c r="J62" s="9" t="s">
        <v>507</v>
      </c>
      <c r="K62" s="9" t="s">
        <v>410</v>
      </c>
    </row>
    <row r="63" spans="1:11" x14ac:dyDescent="0.25">
      <c r="A63" s="4">
        <v>25</v>
      </c>
      <c r="B63" s="5" t="s">
        <v>138</v>
      </c>
      <c r="C63" s="12">
        <v>24.74</v>
      </c>
      <c r="D63" s="13" t="s">
        <v>22</v>
      </c>
      <c r="E63" s="5" t="s">
        <v>139</v>
      </c>
      <c r="F63" s="5" t="s">
        <v>140</v>
      </c>
      <c r="G63" s="5" t="s">
        <v>141</v>
      </c>
      <c r="H63" s="5" t="s">
        <v>142</v>
      </c>
      <c r="I63" s="8"/>
      <c r="J63" s="9" t="s">
        <v>143</v>
      </c>
      <c r="K63" s="9" t="s">
        <v>144</v>
      </c>
    </row>
    <row r="64" spans="1:11" x14ac:dyDescent="0.25">
      <c r="A64" s="10">
        <v>98</v>
      </c>
      <c r="B64" s="11" t="s">
        <v>475</v>
      </c>
      <c r="C64" s="12">
        <v>24.48</v>
      </c>
      <c r="D64" s="13" t="s">
        <v>22</v>
      </c>
      <c r="E64" s="11" t="s">
        <v>29</v>
      </c>
      <c r="F64" s="11" t="s">
        <v>476</v>
      </c>
      <c r="G64" s="11" t="s">
        <v>477</v>
      </c>
      <c r="H64" s="11" t="s">
        <v>478</v>
      </c>
      <c r="I64" s="8"/>
      <c r="J64" s="9" t="s">
        <v>479</v>
      </c>
      <c r="K64" s="9" t="s">
        <v>312</v>
      </c>
    </row>
    <row r="65" spans="1:11" x14ac:dyDescent="0.25">
      <c r="A65" s="4">
        <v>129</v>
      </c>
      <c r="B65" s="5" t="s">
        <v>592</v>
      </c>
      <c r="C65" s="12">
        <v>24.21</v>
      </c>
      <c r="D65" s="7" t="s">
        <v>12</v>
      </c>
      <c r="E65" s="5" t="s">
        <v>442</v>
      </c>
      <c r="F65" s="5" t="s">
        <v>593</v>
      </c>
      <c r="G65" s="5" t="s">
        <v>199</v>
      </c>
      <c r="H65" s="5" t="s">
        <v>594</v>
      </c>
      <c r="I65" s="8"/>
      <c r="J65" s="9" t="s">
        <v>595</v>
      </c>
      <c r="K65" s="9" t="s">
        <v>556</v>
      </c>
    </row>
    <row r="66" spans="1:11" x14ac:dyDescent="0.25">
      <c r="A66" s="10">
        <v>42</v>
      </c>
      <c r="B66" s="11" t="s">
        <v>230</v>
      </c>
      <c r="C66" s="12">
        <v>23.98</v>
      </c>
      <c r="D66" s="13" t="s">
        <v>22</v>
      </c>
      <c r="E66" s="11" t="s">
        <v>139</v>
      </c>
      <c r="F66" s="11" t="s">
        <v>231</v>
      </c>
      <c r="G66" s="11" t="s">
        <v>232</v>
      </c>
      <c r="H66" s="11" t="s">
        <v>233</v>
      </c>
      <c r="I66" s="8"/>
      <c r="J66" s="9" t="s">
        <v>234</v>
      </c>
      <c r="K66" s="9" t="s">
        <v>195</v>
      </c>
    </row>
    <row r="67" spans="1:11" x14ac:dyDescent="0.25">
      <c r="A67" s="10">
        <v>102</v>
      </c>
      <c r="B67" s="11" t="s">
        <v>491</v>
      </c>
      <c r="C67" s="12">
        <v>22.48</v>
      </c>
      <c r="D67" s="13" t="s">
        <v>22</v>
      </c>
      <c r="E67" s="11" t="s">
        <v>128</v>
      </c>
      <c r="F67" s="11" t="s">
        <v>492</v>
      </c>
      <c r="G67" s="11" t="s">
        <v>493</v>
      </c>
      <c r="H67" s="11" t="s">
        <v>494</v>
      </c>
      <c r="I67" s="8"/>
      <c r="J67" s="9" t="s">
        <v>261</v>
      </c>
      <c r="K67" s="9" t="s">
        <v>495</v>
      </c>
    </row>
    <row r="68" spans="1:11" x14ac:dyDescent="0.25">
      <c r="A68" s="4">
        <v>123</v>
      </c>
      <c r="B68" s="5" t="s">
        <v>566</v>
      </c>
      <c r="C68" s="12">
        <v>22.41</v>
      </c>
      <c r="D68" s="13" t="s">
        <v>22</v>
      </c>
      <c r="E68" s="5" t="s">
        <v>326</v>
      </c>
      <c r="F68" s="5" t="s">
        <v>567</v>
      </c>
      <c r="G68" s="5" t="s">
        <v>568</v>
      </c>
      <c r="H68" s="5" t="s">
        <v>569</v>
      </c>
      <c r="I68" s="8"/>
      <c r="J68" s="9" t="s">
        <v>143</v>
      </c>
      <c r="K68" s="9" t="s">
        <v>565</v>
      </c>
    </row>
    <row r="69" spans="1:11" x14ac:dyDescent="0.25">
      <c r="A69" s="10">
        <v>170</v>
      </c>
      <c r="B69" s="11" t="s">
        <v>758</v>
      </c>
      <c r="C69" s="12">
        <v>22.26</v>
      </c>
      <c r="D69" s="13" t="s">
        <v>22</v>
      </c>
      <c r="E69" s="11" t="s">
        <v>759</v>
      </c>
      <c r="F69" s="11" t="s">
        <v>760</v>
      </c>
      <c r="G69" s="11" t="s">
        <v>761</v>
      </c>
      <c r="H69" s="11" t="s">
        <v>762</v>
      </c>
      <c r="I69" s="8"/>
      <c r="J69" s="9" t="s">
        <v>763</v>
      </c>
      <c r="K69" s="9" t="s">
        <v>735</v>
      </c>
    </row>
    <row r="70" spans="1:11" x14ac:dyDescent="0.25">
      <c r="A70" s="4">
        <v>153</v>
      </c>
      <c r="B70" s="5" t="s">
        <v>688</v>
      </c>
      <c r="C70" s="12">
        <v>21.74</v>
      </c>
      <c r="D70" s="7" t="s">
        <v>12</v>
      </c>
      <c r="E70" s="5" t="s">
        <v>197</v>
      </c>
      <c r="F70" s="5" t="s">
        <v>689</v>
      </c>
      <c r="G70" s="5" t="s">
        <v>690</v>
      </c>
      <c r="H70" s="5" t="s">
        <v>691</v>
      </c>
      <c r="I70" s="8"/>
      <c r="J70" s="9" t="s">
        <v>110</v>
      </c>
      <c r="K70" s="9" t="s">
        <v>679</v>
      </c>
    </row>
    <row r="71" spans="1:11" x14ac:dyDescent="0.25">
      <c r="A71" s="10">
        <v>32</v>
      </c>
      <c r="B71" s="11" t="s">
        <v>179</v>
      </c>
      <c r="C71" s="12">
        <v>21.24</v>
      </c>
      <c r="D71" s="7" t="s">
        <v>12</v>
      </c>
      <c r="E71" s="11" t="s">
        <v>29</v>
      </c>
      <c r="F71" s="11" t="s">
        <v>180</v>
      </c>
      <c r="G71" s="11" t="s">
        <v>181</v>
      </c>
      <c r="H71" s="11" t="s">
        <v>182</v>
      </c>
      <c r="I71" s="8"/>
      <c r="J71" s="9" t="s">
        <v>183</v>
      </c>
      <c r="K71" s="9" t="s">
        <v>184</v>
      </c>
    </row>
    <row r="72" spans="1:11" x14ac:dyDescent="0.25">
      <c r="A72" s="10">
        <v>66</v>
      </c>
      <c r="B72" s="11" t="s">
        <v>340</v>
      </c>
      <c r="C72" s="12">
        <v>21.24</v>
      </c>
      <c r="D72" s="13" t="s">
        <v>22</v>
      </c>
      <c r="E72" s="11" t="s">
        <v>341</v>
      </c>
      <c r="F72" s="11" t="s">
        <v>342</v>
      </c>
      <c r="G72" s="11" t="s">
        <v>343</v>
      </c>
      <c r="H72" s="11" t="s">
        <v>182</v>
      </c>
      <c r="I72" s="8"/>
      <c r="J72" s="9" t="s">
        <v>344</v>
      </c>
      <c r="K72" s="9" t="s">
        <v>312</v>
      </c>
    </row>
    <row r="73" spans="1:11" x14ac:dyDescent="0.25">
      <c r="A73" s="4">
        <v>147</v>
      </c>
      <c r="B73" s="5" t="s">
        <v>669</v>
      </c>
      <c r="C73" s="12">
        <v>20.79</v>
      </c>
      <c r="D73" s="13" t="s">
        <v>22</v>
      </c>
      <c r="E73" s="5" t="s">
        <v>13</v>
      </c>
      <c r="F73" s="5" t="s">
        <v>670</v>
      </c>
      <c r="G73" s="5" t="s">
        <v>670</v>
      </c>
      <c r="H73" s="5" t="s">
        <v>670</v>
      </c>
      <c r="I73" s="8"/>
      <c r="J73" s="9" t="s">
        <v>671</v>
      </c>
      <c r="K73" s="9" t="s">
        <v>657</v>
      </c>
    </row>
    <row r="74" spans="1:11" x14ac:dyDescent="0.25">
      <c r="A74" s="4">
        <v>141</v>
      </c>
      <c r="B74" s="5" t="s">
        <v>639</v>
      </c>
      <c r="C74" s="12">
        <v>20.2</v>
      </c>
      <c r="D74" s="13" t="s">
        <v>22</v>
      </c>
      <c r="E74" s="5" t="s">
        <v>139</v>
      </c>
      <c r="F74" s="5" t="s">
        <v>640</v>
      </c>
      <c r="G74" s="5" t="s">
        <v>282</v>
      </c>
      <c r="H74" s="5" t="s">
        <v>641</v>
      </c>
      <c r="I74" s="8"/>
      <c r="J74" s="9" t="s">
        <v>642</v>
      </c>
      <c r="K74" s="9" t="s">
        <v>643</v>
      </c>
    </row>
    <row r="75" spans="1:11" x14ac:dyDescent="0.25">
      <c r="A75" s="4">
        <v>167</v>
      </c>
      <c r="B75" s="5" t="s">
        <v>741</v>
      </c>
      <c r="C75" s="12">
        <v>20.149999999999999</v>
      </c>
      <c r="D75" s="13" t="s">
        <v>22</v>
      </c>
      <c r="E75" s="5" t="s">
        <v>742</v>
      </c>
      <c r="F75" s="5" t="s">
        <v>743</v>
      </c>
      <c r="G75" s="5" t="s">
        <v>744</v>
      </c>
      <c r="H75" s="5" t="s">
        <v>745</v>
      </c>
      <c r="I75" s="8"/>
      <c r="J75" s="9" t="s">
        <v>746</v>
      </c>
      <c r="K75" s="9" t="s">
        <v>735</v>
      </c>
    </row>
    <row r="76" spans="1:11" x14ac:dyDescent="0.25">
      <c r="A76" s="10">
        <v>74</v>
      </c>
      <c r="B76" s="11" t="s">
        <v>379</v>
      </c>
      <c r="C76" s="12">
        <v>19.84</v>
      </c>
      <c r="D76" s="13" t="s">
        <v>22</v>
      </c>
      <c r="E76" s="11" t="s">
        <v>380</v>
      </c>
      <c r="F76" s="11" t="s">
        <v>381</v>
      </c>
      <c r="G76" s="11" t="s">
        <v>382</v>
      </c>
      <c r="H76" s="11" t="s">
        <v>383</v>
      </c>
      <c r="I76" s="8"/>
      <c r="J76" s="9" t="s">
        <v>183</v>
      </c>
      <c r="K76" s="9" t="s">
        <v>195</v>
      </c>
    </row>
    <row r="77" spans="1:11" x14ac:dyDescent="0.25">
      <c r="A77" s="4">
        <v>159</v>
      </c>
      <c r="B77" s="5" t="s">
        <v>709</v>
      </c>
      <c r="C77" s="12">
        <v>19.73</v>
      </c>
      <c r="D77" s="13" t="s">
        <v>22</v>
      </c>
      <c r="E77" s="5" t="s">
        <v>710</v>
      </c>
      <c r="F77" s="5" t="s">
        <v>711</v>
      </c>
      <c r="G77" s="5" t="s">
        <v>587</v>
      </c>
      <c r="H77" s="5" t="s">
        <v>712</v>
      </c>
      <c r="I77" s="8"/>
      <c r="J77" s="9" t="s">
        <v>464</v>
      </c>
      <c r="K77" s="9" t="s">
        <v>455</v>
      </c>
    </row>
    <row r="78" spans="1:11" x14ac:dyDescent="0.25">
      <c r="A78" s="4">
        <v>43</v>
      </c>
      <c r="B78" s="5" t="s">
        <v>235</v>
      </c>
      <c r="C78" s="12">
        <v>19.47</v>
      </c>
      <c r="D78" s="13" t="s">
        <v>22</v>
      </c>
      <c r="E78" s="5" t="s">
        <v>210</v>
      </c>
      <c r="F78" s="5" t="s">
        <v>236</v>
      </c>
      <c r="G78" s="5" t="s">
        <v>237</v>
      </c>
      <c r="H78" s="5" t="s">
        <v>238</v>
      </c>
      <c r="I78" s="8"/>
      <c r="J78" s="9" t="s">
        <v>239</v>
      </c>
      <c r="K78" s="9" t="s">
        <v>195</v>
      </c>
    </row>
    <row r="79" spans="1:11" x14ac:dyDescent="0.25">
      <c r="A79" s="4">
        <v>53</v>
      </c>
      <c r="B79" s="5" t="s">
        <v>284</v>
      </c>
      <c r="C79" s="12">
        <v>19.47</v>
      </c>
      <c r="D79" s="7" t="s">
        <v>12</v>
      </c>
      <c r="E79" s="5" t="s">
        <v>29</v>
      </c>
      <c r="F79" s="5" t="s">
        <v>285</v>
      </c>
      <c r="G79" s="5" t="s">
        <v>286</v>
      </c>
      <c r="H79" s="5" t="s">
        <v>238</v>
      </c>
      <c r="I79" s="8"/>
      <c r="J79" s="9" t="s">
        <v>287</v>
      </c>
      <c r="K79" s="9" t="s">
        <v>195</v>
      </c>
    </row>
    <row r="80" spans="1:11" x14ac:dyDescent="0.25">
      <c r="A80" s="10">
        <v>166</v>
      </c>
      <c r="B80" s="11" t="s">
        <v>736</v>
      </c>
      <c r="C80" s="12">
        <v>19.47</v>
      </c>
      <c r="D80" s="13" t="s">
        <v>22</v>
      </c>
      <c r="E80" s="11" t="s">
        <v>737</v>
      </c>
      <c r="F80" s="11" t="s">
        <v>738</v>
      </c>
      <c r="G80" s="11" t="s">
        <v>270</v>
      </c>
      <c r="H80" s="11" t="s">
        <v>739</v>
      </c>
      <c r="I80" s="8"/>
      <c r="J80" s="9" t="s">
        <v>740</v>
      </c>
      <c r="K80" s="9" t="s">
        <v>735</v>
      </c>
    </row>
    <row r="81" spans="1:11" x14ac:dyDescent="0.25">
      <c r="A81" s="10">
        <v>36</v>
      </c>
      <c r="B81" s="11" t="s">
        <v>201</v>
      </c>
      <c r="C81" s="12">
        <v>19.260000000000002</v>
      </c>
      <c r="D81" s="13" t="s">
        <v>22</v>
      </c>
      <c r="E81" s="11" t="s">
        <v>202</v>
      </c>
      <c r="F81" s="11" t="s">
        <v>203</v>
      </c>
      <c r="G81" s="11" t="s">
        <v>204</v>
      </c>
      <c r="H81" s="11" t="s">
        <v>205</v>
      </c>
      <c r="I81" s="8"/>
      <c r="J81" s="9" t="s">
        <v>206</v>
      </c>
      <c r="K81" s="9" t="s">
        <v>195</v>
      </c>
    </row>
    <row r="82" spans="1:11" x14ac:dyDescent="0.25">
      <c r="A82" s="4">
        <v>69</v>
      </c>
      <c r="B82" s="5" t="s">
        <v>355</v>
      </c>
      <c r="C82" s="12">
        <v>19.13</v>
      </c>
      <c r="D82" s="13" t="s">
        <v>22</v>
      </c>
      <c r="E82" s="5" t="s">
        <v>341</v>
      </c>
      <c r="F82" s="5" t="s">
        <v>356</v>
      </c>
      <c r="G82" s="5" t="s">
        <v>357</v>
      </c>
      <c r="H82" s="5" t="s">
        <v>358</v>
      </c>
      <c r="I82" s="8"/>
      <c r="J82" s="9" t="s">
        <v>359</v>
      </c>
      <c r="K82" s="9" t="s">
        <v>312</v>
      </c>
    </row>
    <row r="83" spans="1:11" x14ac:dyDescent="0.25">
      <c r="A83" s="4">
        <v>111</v>
      </c>
      <c r="B83" s="5" t="s">
        <v>524</v>
      </c>
      <c r="C83" s="12">
        <v>18.98</v>
      </c>
      <c r="D83" s="13" t="s">
        <v>22</v>
      </c>
      <c r="E83" s="5" t="s">
        <v>525</v>
      </c>
      <c r="F83" s="5" t="s">
        <v>526</v>
      </c>
      <c r="G83" s="5" t="s">
        <v>395</v>
      </c>
      <c r="H83" s="5" t="s">
        <v>527</v>
      </c>
      <c r="I83" s="8"/>
      <c r="J83" s="9" t="s">
        <v>528</v>
      </c>
      <c r="K83" s="9" t="s">
        <v>523</v>
      </c>
    </row>
    <row r="84" spans="1:11" x14ac:dyDescent="0.25">
      <c r="A84" s="10">
        <v>120</v>
      </c>
      <c r="B84" s="11" t="s">
        <v>554</v>
      </c>
      <c r="C84" s="12">
        <v>18.52</v>
      </c>
      <c r="D84" s="7" t="s">
        <v>12</v>
      </c>
      <c r="E84" s="11" t="s">
        <v>13</v>
      </c>
      <c r="F84" s="11" t="s">
        <v>555</v>
      </c>
      <c r="G84" s="11" t="s">
        <v>555</v>
      </c>
      <c r="H84" s="11" t="s">
        <v>555</v>
      </c>
      <c r="I84" s="8"/>
      <c r="J84" s="9" t="s">
        <v>261</v>
      </c>
      <c r="K84" s="9" t="s">
        <v>556</v>
      </c>
    </row>
    <row r="85" spans="1:11" x14ac:dyDescent="0.25">
      <c r="A85" s="10">
        <v>126</v>
      </c>
      <c r="B85" s="11" t="s">
        <v>581</v>
      </c>
      <c r="C85" s="12">
        <v>18.21</v>
      </c>
      <c r="D85" s="13" t="s">
        <v>22</v>
      </c>
      <c r="E85" s="11" t="s">
        <v>326</v>
      </c>
      <c r="F85" s="11" t="s">
        <v>582</v>
      </c>
      <c r="G85" s="11" t="s">
        <v>452</v>
      </c>
      <c r="H85" s="11" t="s">
        <v>583</v>
      </c>
      <c r="I85" s="8"/>
      <c r="J85" s="9" t="s">
        <v>580</v>
      </c>
      <c r="K85" s="9" t="s">
        <v>575</v>
      </c>
    </row>
    <row r="86" spans="1:11" x14ac:dyDescent="0.25">
      <c r="A86" s="10">
        <v>52</v>
      </c>
      <c r="B86" s="11" t="s">
        <v>280</v>
      </c>
      <c r="C86" s="12">
        <v>18.100000000000001</v>
      </c>
      <c r="D86" s="13" t="s">
        <v>22</v>
      </c>
      <c r="E86" s="11" t="s">
        <v>100</v>
      </c>
      <c r="F86" s="11" t="s">
        <v>281</v>
      </c>
      <c r="G86" s="11" t="s">
        <v>282</v>
      </c>
      <c r="H86" s="11" t="s">
        <v>283</v>
      </c>
      <c r="I86" s="8"/>
      <c r="J86" s="9" t="s">
        <v>229</v>
      </c>
      <c r="K86" s="9" t="s">
        <v>195</v>
      </c>
    </row>
    <row r="87" spans="1:11" x14ac:dyDescent="0.25">
      <c r="A87" s="4">
        <v>45</v>
      </c>
      <c r="B87" s="5" t="s">
        <v>246</v>
      </c>
      <c r="C87" s="12">
        <v>18.02</v>
      </c>
      <c r="D87" s="13" t="s">
        <v>22</v>
      </c>
      <c r="E87" s="5" t="s">
        <v>247</v>
      </c>
      <c r="F87" s="5" t="s">
        <v>248</v>
      </c>
      <c r="G87" s="5" t="s">
        <v>249</v>
      </c>
      <c r="H87" s="5" t="s">
        <v>250</v>
      </c>
      <c r="I87" s="8"/>
      <c r="J87" s="9" t="s">
        <v>251</v>
      </c>
      <c r="K87" s="9" t="s">
        <v>195</v>
      </c>
    </row>
    <row r="88" spans="1:11" x14ac:dyDescent="0.25">
      <c r="A88" s="4">
        <v>67</v>
      </c>
      <c r="B88" s="5" t="s">
        <v>345</v>
      </c>
      <c r="C88" s="12">
        <v>17.68</v>
      </c>
      <c r="D88" s="13" t="s">
        <v>22</v>
      </c>
      <c r="E88" s="5" t="s">
        <v>197</v>
      </c>
      <c r="F88" s="5" t="s">
        <v>346</v>
      </c>
      <c r="G88" s="5" t="s">
        <v>347</v>
      </c>
      <c r="H88" s="5" t="s">
        <v>348</v>
      </c>
      <c r="I88" s="8"/>
      <c r="J88" s="9" t="s">
        <v>349</v>
      </c>
      <c r="K88" s="9" t="s">
        <v>312</v>
      </c>
    </row>
    <row r="89" spans="1:11" x14ac:dyDescent="0.25">
      <c r="A89" s="10">
        <v>16</v>
      </c>
      <c r="B89" s="11" t="s">
        <v>88</v>
      </c>
      <c r="C89" s="12">
        <v>17.64</v>
      </c>
      <c r="D89" s="13" t="s">
        <v>22</v>
      </c>
      <c r="E89" s="11" t="s">
        <v>89</v>
      </c>
      <c r="F89" s="11" t="s">
        <v>90</v>
      </c>
      <c r="G89" s="11" t="s">
        <v>91</v>
      </c>
      <c r="H89" s="11" t="s">
        <v>92</v>
      </c>
      <c r="I89" s="8"/>
      <c r="J89" s="9" t="s">
        <v>93</v>
      </c>
      <c r="K89" s="9" t="s">
        <v>94</v>
      </c>
    </row>
    <row r="90" spans="1:11" x14ac:dyDescent="0.25">
      <c r="A90" s="4">
        <v>165</v>
      </c>
      <c r="B90" s="5" t="s">
        <v>730</v>
      </c>
      <c r="C90" s="12">
        <v>17.440000000000001</v>
      </c>
      <c r="D90" s="13" t="s">
        <v>22</v>
      </c>
      <c r="E90" s="5" t="s">
        <v>731</v>
      </c>
      <c r="F90" s="5" t="s">
        <v>732</v>
      </c>
      <c r="G90" s="5" t="s">
        <v>733</v>
      </c>
      <c r="H90" s="5" t="s">
        <v>734</v>
      </c>
      <c r="I90" s="8"/>
      <c r="J90" s="9" t="s">
        <v>143</v>
      </c>
      <c r="K90" s="9" t="s">
        <v>735</v>
      </c>
    </row>
    <row r="91" spans="1:11" x14ac:dyDescent="0.25">
      <c r="A91" s="4">
        <v>127</v>
      </c>
      <c r="B91" s="5" t="s">
        <v>584</v>
      </c>
      <c r="C91" s="12">
        <v>17.079999999999998</v>
      </c>
      <c r="D91" s="13" t="s">
        <v>22</v>
      </c>
      <c r="E91" s="5" t="s">
        <v>585</v>
      </c>
      <c r="F91" s="5" t="s">
        <v>586</v>
      </c>
      <c r="G91" s="5" t="s">
        <v>587</v>
      </c>
      <c r="H91" s="5" t="s">
        <v>588</v>
      </c>
      <c r="I91" s="8"/>
      <c r="J91" s="9" t="s">
        <v>589</v>
      </c>
      <c r="K91" s="9" t="s">
        <v>575</v>
      </c>
    </row>
    <row r="92" spans="1:11" x14ac:dyDescent="0.25">
      <c r="A92" s="10">
        <v>70</v>
      </c>
      <c r="B92" s="11" t="s">
        <v>360</v>
      </c>
      <c r="C92" s="12">
        <v>17.03</v>
      </c>
      <c r="D92" s="13" t="s">
        <v>22</v>
      </c>
      <c r="E92" s="11" t="s">
        <v>361</v>
      </c>
      <c r="F92" s="11" t="s">
        <v>362</v>
      </c>
      <c r="G92" s="11" t="s">
        <v>363</v>
      </c>
      <c r="H92" s="11" t="s">
        <v>364</v>
      </c>
      <c r="I92" s="8"/>
      <c r="J92" s="9" t="s">
        <v>365</v>
      </c>
      <c r="K92" s="9" t="s">
        <v>312</v>
      </c>
    </row>
    <row r="93" spans="1:11" x14ac:dyDescent="0.25">
      <c r="A93" s="4">
        <v>85</v>
      </c>
      <c r="B93" s="5" t="s">
        <v>419</v>
      </c>
      <c r="C93" s="12">
        <v>17.02</v>
      </c>
      <c r="D93" s="13" t="s">
        <v>22</v>
      </c>
      <c r="E93" s="5" t="s">
        <v>13</v>
      </c>
      <c r="F93" s="5" t="s">
        <v>420</v>
      </c>
      <c r="G93" s="5" t="s">
        <v>420</v>
      </c>
      <c r="H93" s="5" t="s">
        <v>420</v>
      </c>
      <c r="I93" s="8"/>
      <c r="J93" s="9" t="s">
        <v>421</v>
      </c>
      <c r="K93" s="9" t="s">
        <v>312</v>
      </c>
    </row>
    <row r="94" spans="1:11" x14ac:dyDescent="0.25">
      <c r="A94" s="4">
        <v>81</v>
      </c>
      <c r="B94" s="5" t="s">
        <v>407</v>
      </c>
      <c r="C94" s="12">
        <v>16.809999999999999</v>
      </c>
      <c r="D94" s="16" t="s">
        <v>50</v>
      </c>
      <c r="E94" s="5" t="s">
        <v>128</v>
      </c>
      <c r="F94" s="5" t="s">
        <v>408</v>
      </c>
      <c r="G94" s="5" t="s">
        <v>315</v>
      </c>
      <c r="H94" s="5" t="s">
        <v>409</v>
      </c>
      <c r="I94" s="8"/>
      <c r="J94" s="9" t="s">
        <v>110</v>
      </c>
      <c r="K94" s="9" t="s">
        <v>410</v>
      </c>
    </row>
    <row r="95" spans="1:11" x14ac:dyDescent="0.25">
      <c r="A95" s="10">
        <v>60</v>
      </c>
      <c r="B95" s="11" t="s">
        <v>313</v>
      </c>
      <c r="C95" s="12">
        <v>16.8</v>
      </c>
      <c r="D95" s="13" t="s">
        <v>22</v>
      </c>
      <c r="E95" s="11" t="s">
        <v>210</v>
      </c>
      <c r="F95" s="11" t="s">
        <v>314</v>
      </c>
      <c r="G95" s="11" t="s">
        <v>309</v>
      </c>
      <c r="H95" s="11" t="s">
        <v>315</v>
      </c>
      <c r="I95" s="8"/>
      <c r="J95" s="9" t="s">
        <v>316</v>
      </c>
      <c r="K95" s="9" t="s">
        <v>312</v>
      </c>
    </row>
    <row r="96" spans="1:11" x14ac:dyDescent="0.25">
      <c r="A96" s="4">
        <v>171</v>
      </c>
      <c r="B96" s="5" t="s">
        <v>764</v>
      </c>
      <c r="C96" s="12">
        <v>16.78</v>
      </c>
      <c r="D96" s="13" t="s">
        <v>22</v>
      </c>
      <c r="E96" s="5" t="s">
        <v>765</v>
      </c>
      <c r="F96" s="5" t="s">
        <v>766</v>
      </c>
      <c r="G96" s="5" t="s">
        <v>767</v>
      </c>
      <c r="H96" s="5" t="s">
        <v>768</v>
      </c>
      <c r="I96" s="8"/>
      <c r="J96" s="9" t="s">
        <v>769</v>
      </c>
      <c r="K96" s="9" t="s">
        <v>735</v>
      </c>
    </row>
    <row r="97" spans="1:11" x14ac:dyDescent="0.25">
      <c r="A97" s="10">
        <v>122</v>
      </c>
      <c r="B97" s="11" t="s">
        <v>561</v>
      </c>
      <c r="C97" s="12">
        <v>16.75</v>
      </c>
      <c r="D97" s="13" t="s">
        <v>22</v>
      </c>
      <c r="E97" s="11" t="s">
        <v>210</v>
      </c>
      <c r="F97" s="11" t="s">
        <v>562</v>
      </c>
      <c r="G97" s="11" t="s">
        <v>563</v>
      </c>
      <c r="H97" s="11" t="s">
        <v>564</v>
      </c>
      <c r="I97" s="8"/>
      <c r="J97" s="9" t="s">
        <v>183</v>
      </c>
      <c r="K97" s="9" t="s">
        <v>565</v>
      </c>
    </row>
    <row r="98" spans="1:11" x14ac:dyDescent="0.25">
      <c r="A98" s="4">
        <v>107</v>
      </c>
      <c r="B98" s="5" t="s">
        <v>508</v>
      </c>
      <c r="C98" s="12">
        <v>16.53</v>
      </c>
      <c r="D98" s="13" t="s">
        <v>22</v>
      </c>
      <c r="E98" s="5" t="s">
        <v>13</v>
      </c>
      <c r="F98" s="5" t="s">
        <v>509</v>
      </c>
      <c r="G98" s="5" t="s">
        <v>509</v>
      </c>
      <c r="H98" s="5" t="s">
        <v>509</v>
      </c>
      <c r="I98" s="8"/>
      <c r="J98" s="9" t="s">
        <v>505</v>
      </c>
      <c r="K98" s="9" t="s">
        <v>510</v>
      </c>
    </row>
    <row r="99" spans="1:11" x14ac:dyDescent="0.25">
      <c r="A99" s="4">
        <v>95</v>
      </c>
      <c r="B99" s="5" t="s">
        <v>460</v>
      </c>
      <c r="C99" s="12">
        <v>16.18</v>
      </c>
      <c r="D99" s="13" t="s">
        <v>22</v>
      </c>
      <c r="E99" s="5" t="s">
        <v>128</v>
      </c>
      <c r="F99" s="5" t="s">
        <v>461</v>
      </c>
      <c r="G99" s="5" t="s">
        <v>462</v>
      </c>
      <c r="H99" s="5" t="s">
        <v>463</v>
      </c>
      <c r="I99" s="8"/>
      <c r="J99" s="9" t="s">
        <v>464</v>
      </c>
      <c r="K99" s="9" t="s">
        <v>455</v>
      </c>
    </row>
    <row r="100" spans="1:11" x14ac:dyDescent="0.25">
      <c r="A100" s="10">
        <v>168</v>
      </c>
      <c r="B100" s="11" t="s">
        <v>747</v>
      </c>
      <c r="C100" s="12">
        <v>16.04</v>
      </c>
      <c r="D100" s="13" t="s">
        <v>22</v>
      </c>
      <c r="E100" s="11" t="s">
        <v>748</v>
      </c>
      <c r="F100" s="11" t="s">
        <v>749</v>
      </c>
      <c r="G100" s="11" t="s">
        <v>53</v>
      </c>
      <c r="H100" s="11" t="s">
        <v>750</v>
      </c>
      <c r="I100" s="8"/>
      <c r="J100" s="9" t="s">
        <v>751</v>
      </c>
      <c r="K100" s="9" t="s">
        <v>735</v>
      </c>
    </row>
    <row r="101" spans="1:11" x14ac:dyDescent="0.25">
      <c r="A101" s="4">
        <v>93</v>
      </c>
      <c r="B101" s="5" t="s">
        <v>456</v>
      </c>
      <c r="C101" s="12">
        <v>15.98</v>
      </c>
      <c r="D101" s="13" t="s">
        <v>22</v>
      </c>
      <c r="E101" s="5" t="s">
        <v>13</v>
      </c>
      <c r="F101" s="5" t="s">
        <v>453</v>
      </c>
      <c r="G101" s="5" t="s">
        <v>453</v>
      </c>
      <c r="H101" s="5" t="s">
        <v>453</v>
      </c>
      <c r="I101" s="8"/>
      <c r="J101" s="9" t="s">
        <v>457</v>
      </c>
      <c r="K101" s="9" t="s">
        <v>455</v>
      </c>
    </row>
    <row r="102" spans="1:11" x14ac:dyDescent="0.25">
      <c r="A102" s="10">
        <v>94</v>
      </c>
      <c r="B102" s="11" t="s">
        <v>458</v>
      </c>
      <c r="C102" s="12">
        <v>15.98</v>
      </c>
      <c r="D102" s="13" t="s">
        <v>22</v>
      </c>
      <c r="E102" s="11" t="s">
        <v>13</v>
      </c>
      <c r="F102" s="11" t="s">
        <v>453</v>
      </c>
      <c r="G102" s="11" t="s">
        <v>453</v>
      </c>
      <c r="H102" s="11" t="s">
        <v>453</v>
      </c>
      <c r="I102" s="8"/>
      <c r="J102" s="9" t="s">
        <v>459</v>
      </c>
      <c r="K102" s="9" t="s">
        <v>455</v>
      </c>
    </row>
    <row r="103" spans="1:11" x14ac:dyDescent="0.25">
      <c r="A103" s="10">
        <v>160</v>
      </c>
      <c r="B103" s="11" t="s">
        <v>713</v>
      </c>
      <c r="C103" s="12">
        <v>15.98</v>
      </c>
      <c r="D103" s="13" t="s">
        <v>22</v>
      </c>
      <c r="E103" s="11" t="s">
        <v>13</v>
      </c>
      <c r="F103" s="11" t="s">
        <v>453</v>
      </c>
      <c r="G103" s="11" t="s">
        <v>453</v>
      </c>
      <c r="H103" s="11" t="s">
        <v>453</v>
      </c>
      <c r="I103" s="8"/>
      <c r="J103" s="9" t="s">
        <v>459</v>
      </c>
      <c r="K103" s="9" t="s">
        <v>455</v>
      </c>
    </row>
    <row r="104" spans="1:11" x14ac:dyDescent="0.25">
      <c r="A104" s="10">
        <v>110</v>
      </c>
      <c r="B104" s="11" t="s">
        <v>520</v>
      </c>
      <c r="C104" s="12">
        <v>15.92</v>
      </c>
      <c r="D104" s="13" t="s">
        <v>22</v>
      </c>
      <c r="E104" s="11" t="s">
        <v>13</v>
      </c>
      <c r="F104" s="11" t="s">
        <v>521</v>
      </c>
      <c r="G104" s="11" t="s">
        <v>521</v>
      </c>
      <c r="H104" s="11" t="s">
        <v>521</v>
      </c>
      <c r="I104" s="8"/>
      <c r="J104" s="9" t="s">
        <v>522</v>
      </c>
      <c r="K104" s="9" t="s">
        <v>523</v>
      </c>
    </row>
    <row r="105" spans="1:11" x14ac:dyDescent="0.25">
      <c r="A105" s="10">
        <v>112</v>
      </c>
      <c r="B105" s="11" t="s">
        <v>529</v>
      </c>
      <c r="C105" s="12">
        <v>15.24</v>
      </c>
      <c r="D105" s="13" t="s">
        <v>22</v>
      </c>
      <c r="E105" s="11" t="s">
        <v>197</v>
      </c>
      <c r="F105" s="11" t="s">
        <v>530</v>
      </c>
      <c r="G105" s="11" t="s">
        <v>531</v>
      </c>
      <c r="H105" s="11" t="s">
        <v>532</v>
      </c>
      <c r="I105" s="8"/>
      <c r="J105" s="9" t="s">
        <v>183</v>
      </c>
      <c r="K105" s="9" t="s">
        <v>523</v>
      </c>
    </row>
    <row r="106" spans="1:11" x14ac:dyDescent="0.25">
      <c r="A106" s="10">
        <v>140</v>
      </c>
      <c r="B106" s="11" t="s">
        <v>635</v>
      </c>
      <c r="C106" s="12">
        <v>15.06</v>
      </c>
      <c r="D106" s="13" t="s">
        <v>22</v>
      </c>
      <c r="E106" s="11" t="s">
        <v>326</v>
      </c>
      <c r="F106" s="11" t="s">
        <v>636</v>
      </c>
      <c r="G106" s="11" t="s">
        <v>329</v>
      </c>
      <c r="H106" s="11" t="s">
        <v>637</v>
      </c>
      <c r="I106" s="8"/>
      <c r="J106" s="9" t="s">
        <v>172</v>
      </c>
      <c r="K106" s="9" t="s">
        <v>638</v>
      </c>
    </row>
    <row r="107" spans="1:11" x14ac:dyDescent="0.25">
      <c r="A107" s="4">
        <v>3</v>
      </c>
      <c r="B107" s="5" t="s">
        <v>21</v>
      </c>
      <c r="C107" s="12">
        <v>15</v>
      </c>
      <c r="D107" s="13" t="s">
        <v>22</v>
      </c>
      <c r="E107" s="5" t="s">
        <v>23</v>
      </c>
      <c r="F107" s="5" t="s">
        <v>24</v>
      </c>
      <c r="G107" s="5" t="s">
        <v>25</v>
      </c>
      <c r="H107" s="5" t="s">
        <v>26</v>
      </c>
      <c r="I107" s="8"/>
      <c r="J107" s="9" t="s">
        <v>27</v>
      </c>
      <c r="K107" s="9" t="s">
        <v>20</v>
      </c>
    </row>
    <row r="108" spans="1:11" x14ac:dyDescent="0.25">
      <c r="A108" s="4">
        <v>151</v>
      </c>
      <c r="B108" s="5" t="s">
        <v>680</v>
      </c>
      <c r="C108" s="12">
        <v>14.71</v>
      </c>
      <c r="D108" s="7" t="s">
        <v>12</v>
      </c>
      <c r="E108" s="5" t="s">
        <v>681</v>
      </c>
      <c r="F108" s="5" t="s">
        <v>682</v>
      </c>
      <c r="G108" s="5" t="s">
        <v>309</v>
      </c>
      <c r="H108" s="5" t="s">
        <v>683</v>
      </c>
      <c r="I108" s="8"/>
      <c r="J108" s="9" t="s">
        <v>684</v>
      </c>
      <c r="K108" s="9" t="s">
        <v>679</v>
      </c>
    </row>
    <row r="109" spans="1:11" x14ac:dyDescent="0.25">
      <c r="A109" s="4">
        <v>63</v>
      </c>
      <c r="B109" s="5" t="s">
        <v>325</v>
      </c>
      <c r="C109" s="12">
        <v>14.61</v>
      </c>
      <c r="D109" s="13" t="s">
        <v>22</v>
      </c>
      <c r="E109" s="5" t="s">
        <v>326</v>
      </c>
      <c r="F109" s="5" t="s">
        <v>327</v>
      </c>
      <c r="G109" s="5" t="s">
        <v>328</v>
      </c>
      <c r="H109" s="5" t="s">
        <v>329</v>
      </c>
      <c r="I109" s="8"/>
      <c r="J109" s="9" t="s">
        <v>330</v>
      </c>
      <c r="K109" s="9" t="s">
        <v>312</v>
      </c>
    </row>
    <row r="110" spans="1:11" x14ac:dyDescent="0.25">
      <c r="A110" s="10">
        <v>152</v>
      </c>
      <c r="B110" s="11" t="s">
        <v>685</v>
      </c>
      <c r="C110" s="12">
        <v>14.61</v>
      </c>
      <c r="D110" s="13" t="s">
        <v>22</v>
      </c>
      <c r="E110" s="11" t="s">
        <v>29</v>
      </c>
      <c r="F110" s="11" t="s">
        <v>686</v>
      </c>
      <c r="G110" s="11" t="s">
        <v>329</v>
      </c>
      <c r="H110" s="11" t="s">
        <v>687</v>
      </c>
      <c r="I110" s="8"/>
      <c r="J110" s="9" t="s">
        <v>652</v>
      </c>
      <c r="K110" s="9" t="s">
        <v>679</v>
      </c>
    </row>
    <row r="111" spans="1:11" x14ac:dyDescent="0.25">
      <c r="A111" s="10">
        <v>44</v>
      </c>
      <c r="B111" s="11" t="s">
        <v>240</v>
      </c>
      <c r="C111" s="12">
        <v>14.6</v>
      </c>
      <c r="D111" s="13" t="s">
        <v>22</v>
      </c>
      <c r="E111" s="11" t="s">
        <v>241</v>
      </c>
      <c r="F111" s="11" t="s">
        <v>242</v>
      </c>
      <c r="G111" s="11" t="s">
        <v>243</v>
      </c>
      <c r="H111" s="11" t="s">
        <v>244</v>
      </c>
      <c r="I111" s="8"/>
      <c r="J111" s="9" t="s">
        <v>245</v>
      </c>
      <c r="K111" s="9" t="s">
        <v>195</v>
      </c>
    </row>
    <row r="112" spans="1:11" x14ac:dyDescent="0.25">
      <c r="A112" s="10">
        <v>62</v>
      </c>
      <c r="B112" s="11" t="s">
        <v>322</v>
      </c>
      <c r="C112" s="12">
        <v>14.6</v>
      </c>
      <c r="D112" s="13" t="s">
        <v>22</v>
      </c>
      <c r="E112" s="11" t="s">
        <v>210</v>
      </c>
      <c r="F112" s="11" t="s">
        <v>323</v>
      </c>
      <c r="G112" s="11" t="s">
        <v>309</v>
      </c>
      <c r="H112" s="11" t="s">
        <v>320</v>
      </c>
      <c r="I112" s="8"/>
      <c r="J112" s="9" t="s">
        <v>324</v>
      </c>
      <c r="K112" s="9" t="s">
        <v>312</v>
      </c>
    </row>
    <row r="113" spans="1:11" x14ac:dyDescent="0.25">
      <c r="A113" s="10">
        <v>64</v>
      </c>
      <c r="B113" s="11" t="s">
        <v>331</v>
      </c>
      <c r="C113" s="12">
        <v>14.6</v>
      </c>
      <c r="D113" s="13" t="s">
        <v>22</v>
      </c>
      <c r="E113" s="11" t="s">
        <v>332</v>
      </c>
      <c r="F113" s="11" t="s">
        <v>333</v>
      </c>
      <c r="G113" s="11" t="s">
        <v>309</v>
      </c>
      <c r="H113" s="11" t="s">
        <v>320</v>
      </c>
      <c r="I113" s="8"/>
      <c r="J113" s="9" t="s">
        <v>334</v>
      </c>
      <c r="K113" s="9" t="s">
        <v>312</v>
      </c>
    </row>
    <row r="114" spans="1:11" x14ac:dyDescent="0.25">
      <c r="A114" s="4">
        <v>121</v>
      </c>
      <c r="B114" s="5" t="s">
        <v>557</v>
      </c>
      <c r="C114" s="12">
        <v>14.6</v>
      </c>
      <c r="D114" s="7" t="s">
        <v>12</v>
      </c>
      <c r="E114" s="5" t="s">
        <v>332</v>
      </c>
      <c r="F114" s="5" t="s">
        <v>558</v>
      </c>
      <c r="G114" s="5" t="s">
        <v>559</v>
      </c>
      <c r="H114" s="5" t="s">
        <v>560</v>
      </c>
      <c r="I114" s="8"/>
      <c r="J114" s="9" t="s">
        <v>459</v>
      </c>
      <c r="K114" s="9" t="s">
        <v>455</v>
      </c>
    </row>
    <row r="115" spans="1:11" x14ac:dyDescent="0.25">
      <c r="A115" s="4">
        <v>79</v>
      </c>
      <c r="B115" s="5" t="s">
        <v>398</v>
      </c>
      <c r="C115" s="12">
        <v>14.32</v>
      </c>
      <c r="D115" s="13" t="s">
        <v>22</v>
      </c>
      <c r="E115" s="5" t="s">
        <v>13</v>
      </c>
      <c r="F115" s="5" t="s">
        <v>399</v>
      </c>
      <c r="G115" s="5" t="s">
        <v>399</v>
      </c>
      <c r="H115" s="5" t="s">
        <v>399</v>
      </c>
      <c r="I115" s="8"/>
      <c r="J115" s="9" t="s">
        <v>400</v>
      </c>
      <c r="K115" s="9" t="s">
        <v>401</v>
      </c>
    </row>
    <row r="116" spans="1:11" x14ac:dyDescent="0.25">
      <c r="A116" s="10">
        <v>24</v>
      </c>
      <c r="B116" s="11" t="s">
        <v>134</v>
      </c>
      <c r="C116" s="12">
        <v>14.21</v>
      </c>
      <c r="D116" s="13" t="s">
        <v>22</v>
      </c>
      <c r="E116" s="11" t="s">
        <v>13</v>
      </c>
      <c r="F116" s="11" t="s">
        <v>135</v>
      </c>
      <c r="G116" s="11" t="s">
        <v>135</v>
      </c>
      <c r="H116" s="11" t="s">
        <v>135</v>
      </c>
      <c r="I116" s="8"/>
      <c r="J116" s="9" t="s">
        <v>136</v>
      </c>
      <c r="K116" s="9" t="s">
        <v>137</v>
      </c>
    </row>
    <row r="117" spans="1:11" x14ac:dyDescent="0.25">
      <c r="A117" s="10">
        <v>58</v>
      </c>
      <c r="B117" s="11" t="s">
        <v>302</v>
      </c>
      <c r="C117" s="12">
        <v>13.92</v>
      </c>
      <c r="D117" s="7" t="s">
        <v>12</v>
      </c>
      <c r="E117" s="11" t="s">
        <v>210</v>
      </c>
      <c r="F117" s="11" t="s">
        <v>303</v>
      </c>
      <c r="G117" s="11" t="s">
        <v>304</v>
      </c>
      <c r="H117" s="11" t="s">
        <v>305</v>
      </c>
      <c r="I117" s="8"/>
      <c r="J117" s="9" t="s">
        <v>306</v>
      </c>
      <c r="K117" s="9" t="s">
        <v>214</v>
      </c>
    </row>
    <row r="118" spans="1:11" x14ac:dyDescent="0.25">
      <c r="A118" s="10">
        <v>50</v>
      </c>
      <c r="B118" s="11" t="s">
        <v>272</v>
      </c>
      <c r="C118" s="12">
        <v>13.22</v>
      </c>
      <c r="D118" s="13" t="s">
        <v>22</v>
      </c>
      <c r="E118" s="11" t="s">
        <v>197</v>
      </c>
      <c r="F118" s="11" t="s">
        <v>273</v>
      </c>
      <c r="G118" s="11" t="s">
        <v>274</v>
      </c>
      <c r="H118" s="11" t="s">
        <v>238</v>
      </c>
      <c r="I118" s="8"/>
      <c r="J118" s="9" t="s">
        <v>208</v>
      </c>
      <c r="K118" s="9" t="s">
        <v>195</v>
      </c>
    </row>
    <row r="119" spans="1:11" x14ac:dyDescent="0.25">
      <c r="A119" s="10">
        <v>148</v>
      </c>
      <c r="B119" s="11" t="s">
        <v>672</v>
      </c>
      <c r="C119" s="12">
        <v>13.19</v>
      </c>
      <c r="D119" s="18" t="s">
        <v>123</v>
      </c>
      <c r="E119" s="11" t="s">
        <v>29</v>
      </c>
      <c r="F119" s="11" t="s">
        <v>673</v>
      </c>
      <c r="G119" s="11" t="s">
        <v>674</v>
      </c>
      <c r="H119" s="11" t="s">
        <v>675</v>
      </c>
      <c r="I119" s="8"/>
      <c r="J119" s="9" t="s">
        <v>663</v>
      </c>
      <c r="K119" s="9" t="s">
        <v>657</v>
      </c>
    </row>
    <row r="120" spans="1:11" x14ac:dyDescent="0.25">
      <c r="A120" s="10">
        <v>104</v>
      </c>
      <c r="B120" s="11" t="s">
        <v>501</v>
      </c>
      <c r="C120" s="12">
        <v>13.15</v>
      </c>
      <c r="D120" s="7" t="s">
        <v>12</v>
      </c>
      <c r="E120" s="11" t="s">
        <v>13</v>
      </c>
      <c r="F120" s="11" t="s">
        <v>502</v>
      </c>
      <c r="G120" s="11" t="s">
        <v>502</v>
      </c>
      <c r="H120" s="11" t="s">
        <v>502</v>
      </c>
      <c r="I120" s="8"/>
      <c r="J120" s="9" t="s">
        <v>400</v>
      </c>
      <c r="K120" s="9" t="s">
        <v>503</v>
      </c>
    </row>
    <row r="121" spans="1:11" x14ac:dyDescent="0.25">
      <c r="A121" s="10">
        <v>92</v>
      </c>
      <c r="B121" s="11" t="s">
        <v>450</v>
      </c>
      <c r="C121" s="12">
        <v>12.92</v>
      </c>
      <c r="D121" s="13" t="s">
        <v>22</v>
      </c>
      <c r="E121" s="11" t="s">
        <v>326</v>
      </c>
      <c r="F121" s="11" t="s">
        <v>451</v>
      </c>
      <c r="G121" s="11" t="s">
        <v>452</v>
      </c>
      <c r="H121" s="11" t="s">
        <v>453</v>
      </c>
      <c r="I121" s="8"/>
      <c r="J121" s="9" t="s">
        <v>454</v>
      </c>
      <c r="K121" s="9" t="s">
        <v>455</v>
      </c>
    </row>
    <row r="122" spans="1:11" x14ac:dyDescent="0.25">
      <c r="A122" s="10">
        <v>124</v>
      </c>
      <c r="B122" s="11" t="s">
        <v>570</v>
      </c>
      <c r="C122" s="12">
        <v>12.8</v>
      </c>
      <c r="D122" s="13" t="s">
        <v>22</v>
      </c>
      <c r="E122" s="11" t="s">
        <v>106</v>
      </c>
      <c r="F122" s="11" t="s">
        <v>571</v>
      </c>
      <c r="G122" s="11" t="s">
        <v>572</v>
      </c>
      <c r="H122" s="11" t="s">
        <v>573</v>
      </c>
      <c r="I122" s="8"/>
      <c r="J122" s="9" t="s">
        <v>574</v>
      </c>
      <c r="K122" s="9" t="s">
        <v>575</v>
      </c>
    </row>
    <row r="123" spans="1:11" x14ac:dyDescent="0.25">
      <c r="A123" s="4">
        <v>61</v>
      </c>
      <c r="B123" s="5" t="s">
        <v>317</v>
      </c>
      <c r="C123" s="12">
        <v>12.6</v>
      </c>
      <c r="D123" s="13" t="s">
        <v>22</v>
      </c>
      <c r="E123" s="5" t="s">
        <v>128</v>
      </c>
      <c r="F123" s="5" t="s">
        <v>318</v>
      </c>
      <c r="G123" s="5" t="s">
        <v>319</v>
      </c>
      <c r="H123" s="5" t="s">
        <v>320</v>
      </c>
      <c r="I123" s="8"/>
      <c r="J123" s="9" t="s">
        <v>321</v>
      </c>
      <c r="K123" s="9" t="s">
        <v>312</v>
      </c>
    </row>
    <row r="124" spans="1:11" x14ac:dyDescent="0.25">
      <c r="A124" s="4">
        <v>15</v>
      </c>
      <c r="B124" s="5" t="s">
        <v>85</v>
      </c>
      <c r="C124" s="12">
        <v>12.25</v>
      </c>
      <c r="D124" s="16" t="s">
        <v>50</v>
      </c>
      <c r="E124" s="5" t="s">
        <v>13</v>
      </c>
      <c r="F124" s="5" t="s">
        <v>86</v>
      </c>
      <c r="G124" s="5" t="s">
        <v>86</v>
      </c>
      <c r="H124" s="5" t="s">
        <v>86</v>
      </c>
      <c r="I124" s="8"/>
      <c r="J124" s="9" t="s">
        <v>87</v>
      </c>
      <c r="K124" s="9" t="s">
        <v>84</v>
      </c>
    </row>
    <row r="125" spans="1:11" x14ac:dyDescent="0.25">
      <c r="A125" s="4">
        <v>103</v>
      </c>
      <c r="B125" s="5" t="s">
        <v>496</v>
      </c>
      <c r="C125" s="12">
        <v>12.06</v>
      </c>
      <c r="D125" s="13" t="s">
        <v>22</v>
      </c>
      <c r="E125" s="5" t="s">
        <v>497</v>
      </c>
      <c r="F125" s="5" t="s">
        <v>498</v>
      </c>
      <c r="G125" s="5" t="s">
        <v>499</v>
      </c>
      <c r="H125" s="5" t="s">
        <v>500</v>
      </c>
      <c r="I125" s="8"/>
      <c r="J125" s="9" t="s">
        <v>149</v>
      </c>
      <c r="K125" s="9" t="s">
        <v>150</v>
      </c>
    </row>
    <row r="126" spans="1:11" x14ac:dyDescent="0.25">
      <c r="A126" s="4">
        <v>177</v>
      </c>
      <c r="B126" s="5" t="s">
        <v>792</v>
      </c>
      <c r="C126" s="12">
        <v>11.67</v>
      </c>
      <c r="D126" s="7" t="s">
        <v>12</v>
      </c>
      <c r="E126" s="5" t="s">
        <v>793</v>
      </c>
      <c r="F126" s="5" t="s">
        <v>794</v>
      </c>
      <c r="G126" s="5" t="s">
        <v>795</v>
      </c>
      <c r="H126" s="5" t="s">
        <v>796</v>
      </c>
      <c r="I126" s="8"/>
      <c r="J126" s="9" t="s">
        <v>797</v>
      </c>
      <c r="K126" s="9" t="s">
        <v>776</v>
      </c>
    </row>
    <row r="127" spans="1:11" x14ac:dyDescent="0.25">
      <c r="A127" s="10">
        <v>150</v>
      </c>
      <c r="B127" s="11" t="s">
        <v>677</v>
      </c>
      <c r="C127" s="12">
        <v>11.46</v>
      </c>
      <c r="D127" s="13" t="s">
        <v>22</v>
      </c>
      <c r="E127" s="11" t="s">
        <v>13</v>
      </c>
      <c r="F127" s="11" t="s">
        <v>678</v>
      </c>
      <c r="G127" s="11" t="s">
        <v>678</v>
      </c>
      <c r="H127" s="11" t="s">
        <v>678</v>
      </c>
      <c r="I127" s="8"/>
      <c r="J127" s="9" t="s">
        <v>149</v>
      </c>
      <c r="K127" s="9" t="s">
        <v>679</v>
      </c>
    </row>
    <row r="128" spans="1:11" x14ac:dyDescent="0.25">
      <c r="A128" s="10">
        <v>172</v>
      </c>
      <c r="B128" s="11" t="s">
        <v>770</v>
      </c>
      <c r="C128" s="12">
        <v>11.46</v>
      </c>
      <c r="D128" s="7" t="s">
        <v>12</v>
      </c>
      <c r="E128" s="11" t="s">
        <v>771</v>
      </c>
      <c r="F128" s="11" t="s">
        <v>772</v>
      </c>
      <c r="G128" s="11" t="s">
        <v>773</v>
      </c>
      <c r="H128" s="11" t="s">
        <v>774</v>
      </c>
      <c r="I128" s="8"/>
      <c r="J128" s="9" t="s">
        <v>775</v>
      </c>
      <c r="K128" s="9" t="s">
        <v>776</v>
      </c>
    </row>
    <row r="129" spans="1:11" x14ac:dyDescent="0.25">
      <c r="A129" s="10">
        <v>8</v>
      </c>
      <c r="B129" s="11" t="s">
        <v>49</v>
      </c>
      <c r="C129" s="12">
        <v>10.65</v>
      </c>
      <c r="D129" s="16" t="s">
        <v>50</v>
      </c>
      <c r="E129" s="11" t="s">
        <v>51</v>
      </c>
      <c r="F129" s="11" t="s">
        <v>52</v>
      </c>
      <c r="G129" s="11" t="s">
        <v>53</v>
      </c>
      <c r="H129" s="11" t="s">
        <v>54</v>
      </c>
      <c r="I129" s="8"/>
      <c r="J129" s="9" t="s">
        <v>55</v>
      </c>
      <c r="K129" s="9" t="s">
        <v>48</v>
      </c>
    </row>
    <row r="130" spans="1:11" x14ac:dyDescent="0.25">
      <c r="A130" s="10">
        <v>162</v>
      </c>
      <c r="B130" s="11" t="s">
        <v>718</v>
      </c>
      <c r="C130" s="12">
        <v>10.6</v>
      </c>
      <c r="D130" s="7" t="s">
        <v>12</v>
      </c>
      <c r="E130" s="11" t="s">
        <v>29</v>
      </c>
      <c r="F130" s="11" t="s">
        <v>719</v>
      </c>
      <c r="G130" s="11" t="s">
        <v>720</v>
      </c>
      <c r="H130" s="11" t="s">
        <v>721</v>
      </c>
      <c r="I130" s="8"/>
      <c r="J130" s="9" t="s">
        <v>722</v>
      </c>
      <c r="K130" s="9" t="s">
        <v>679</v>
      </c>
    </row>
    <row r="131" spans="1:11" x14ac:dyDescent="0.25">
      <c r="A131" s="10">
        <v>46</v>
      </c>
      <c r="B131" s="11" t="s">
        <v>252</v>
      </c>
      <c r="C131" s="12">
        <v>10.57</v>
      </c>
      <c r="D131" s="13" t="s">
        <v>22</v>
      </c>
      <c r="E131" s="11" t="s">
        <v>253</v>
      </c>
      <c r="F131" s="11" t="s">
        <v>254</v>
      </c>
      <c r="G131" s="11" t="s">
        <v>45</v>
      </c>
      <c r="H131" s="11" t="s">
        <v>255</v>
      </c>
      <c r="I131" s="8"/>
      <c r="J131" s="9" t="s">
        <v>256</v>
      </c>
      <c r="K131" s="9" t="s">
        <v>195</v>
      </c>
    </row>
    <row r="132" spans="1:11" x14ac:dyDescent="0.25">
      <c r="A132" s="10">
        <v>30</v>
      </c>
      <c r="B132" s="11" t="s">
        <v>168</v>
      </c>
      <c r="C132" s="12">
        <v>10.24</v>
      </c>
      <c r="D132" s="7" t="s">
        <v>12</v>
      </c>
      <c r="E132" s="11" t="s">
        <v>29</v>
      </c>
      <c r="F132" s="11" t="s">
        <v>169</v>
      </c>
      <c r="G132" s="11" t="s">
        <v>170</v>
      </c>
      <c r="H132" s="11" t="s">
        <v>171</v>
      </c>
      <c r="I132" s="8"/>
      <c r="J132" s="9" t="s">
        <v>172</v>
      </c>
      <c r="K132" s="9" t="s">
        <v>173</v>
      </c>
    </row>
    <row r="133" spans="1:11" x14ac:dyDescent="0.25">
      <c r="A133" s="4">
        <v>23</v>
      </c>
      <c r="B133" s="5" t="s">
        <v>127</v>
      </c>
      <c r="C133" s="12">
        <v>10.23</v>
      </c>
      <c r="D133" s="13" t="s">
        <v>22</v>
      </c>
      <c r="E133" s="5" t="s">
        <v>128</v>
      </c>
      <c r="F133" s="5" t="s">
        <v>129</v>
      </c>
      <c r="G133" s="5" t="s">
        <v>130</v>
      </c>
      <c r="H133" s="5" t="s">
        <v>131</v>
      </c>
      <c r="I133" s="8"/>
      <c r="J133" s="9" t="s">
        <v>132</v>
      </c>
      <c r="K133" s="9" t="s">
        <v>133</v>
      </c>
    </row>
    <row r="134" spans="1:11" x14ac:dyDescent="0.25">
      <c r="A134" s="4">
        <v>55</v>
      </c>
      <c r="B134" s="5" t="s">
        <v>293</v>
      </c>
      <c r="C134" s="12">
        <v>10.14</v>
      </c>
      <c r="D134" s="13" t="s">
        <v>22</v>
      </c>
      <c r="E134" s="5" t="s">
        <v>13</v>
      </c>
      <c r="F134" s="5" t="s">
        <v>294</v>
      </c>
      <c r="G134" s="5" t="s">
        <v>294</v>
      </c>
      <c r="H134" s="5" t="s">
        <v>294</v>
      </c>
      <c r="I134" s="8"/>
      <c r="J134" s="9" t="s">
        <v>295</v>
      </c>
      <c r="K134" s="9" t="s">
        <v>214</v>
      </c>
    </row>
    <row r="135" spans="1:11" x14ac:dyDescent="0.25">
      <c r="A135" s="4">
        <v>13</v>
      </c>
      <c r="B135" s="5" t="s">
        <v>76</v>
      </c>
      <c r="C135" s="12">
        <v>10</v>
      </c>
      <c r="D135" s="17" t="s">
        <v>77</v>
      </c>
      <c r="E135" s="5"/>
      <c r="F135" s="5"/>
      <c r="G135" s="5"/>
      <c r="H135" s="5"/>
      <c r="I135" s="8"/>
      <c r="J135" s="9" t="s">
        <v>78</v>
      </c>
      <c r="K135" s="9" t="s">
        <v>48</v>
      </c>
    </row>
    <row r="136" spans="1:11" x14ac:dyDescent="0.25">
      <c r="A136" s="4">
        <v>21</v>
      </c>
      <c r="B136" s="5" t="s">
        <v>117</v>
      </c>
      <c r="C136" s="12">
        <v>10</v>
      </c>
      <c r="D136" s="17" t="s">
        <v>77</v>
      </c>
      <c r="E136" s="5" t="s">
        <v>118</v>
      </c>
      <c r="F136" s="5"/>
      <c r="G136" s="5" t="s">
        <v>119</v>
      </c>
      <c r="H136" s="5" t="s">
        <v>119</v>
      </c>
      <c r="I136" s="8"/>
      <c r="J136" s="9" t="s">
        <v>120</v>
      </c>
      <c r="K136" s="9" t="s">
        <v>121</v>
      </c>
    </row>
    <row r="137" spans="1:11" x14ac:dyDescent="0.25">
      <c r="A137" s="4">
        <v>29</v>
      </c>
      <c r="B137" s="5" t="s">
        <v>162</v>
      </c>
      <c r="C137" s="12">
        <v>9.86</v>
      </c>
      <c r="D137" s="13" t="s">
        <v>22</v>
      </c>
      <c r="E137" s="5" t="s">
        <v>163</v>
      </c>
      <c r="F137" s="5" t="s">
        <v>164</v>
      </c>
      <c r="G137" s="5" t="s">
        <v>165</v>
      </c>
      <c r="H137" s="5" t="s">
        <v>166</v>
      </c>
      <c r="I137" s="8"/>
      <c r="J137" s="9" t="s">
        <v>167</v>
      </c>
      <c r="K137" s="9" t="s">
        <v>150</v>
      </c>
    </row>
    <row r="138" spans="1:11" x14ac:dyDescent="0.25">
      <c r="A138" s="4">
        <v>11</v>
      </c>
      <c r="B138" s="5" t="s">
        <v>68</v>
      </c>
      <c r="C138" s="12">
        <v>9.64</v>
      </c>
      <c r="D138" s="13" t="s">
        <v>22</v>
      </c>
      <c r="E138" s="5" t="s">
        <v>57</v>
      </c>
      <c r="F138" s="5" t="s">
        <v>69</v>
      </c>
      <c r="G138" s="5" t="s">
        <v>70</v>
      </c>
      <c r="H138" s="5" t="s">
        <v>71</v>
      </c>
      <c r="I138" s="8"/>
      <c r="J138" s="9" t="s">
        <v>72</v>
      </c>
      <c r="K138" s="9" t="s">
        <v>48</v>
      </c>
    </row>
    <row r="139" spans="1:11" x14ac:dyDescent="0.25">
      <c r="A139" s="4">
        <v>1</v>
      </c>
      <c r="B139" s="5" t="s">
        <v>11</v>
      </c>
      <c r="C139" s="6">
        <v>9</v>
      </c>
      <c r="D139" s="7" t="s">
        <v>12</v>
      </c>
      <c r="E139" s="5" t="s">
        <v>13</v>
      </c>
      <c r="F139" s="5" t="s">
        <v>14</v>
      </c>
      <c r="G139" s="5" t="s">
        <v>14</v>
      </c>
      <c r="H139" s="5" t="s">
        <v>14</v>
      </c>
      <c r="I139" s="8"/>
      <c r="J139" s="9" t="s">
        <v>15</v>
      </c>
      <c r="K139" s="9" t="s">
        <v>16</v>
      </c>
    </row>
    <row r="140" spans="1:11" x14ac:dyDescent="0.25">
      <c r="A140" s="10">
        <v>6</v>
      </c>
      <c r="B140" s="11" t="s">
        <v>38</v>
      </c>
      <c r="C140" s="12">
        <v>8.74</v>
      </c>
      <c r="D140" s="13" t="s">
        <v>22</v>
      </c>
      <c r="E140" s="11" t="s">
        <v>13</v>
      </c>
      <c r="F140" s="11" t="s">
        <v>39</v>
      </c>
      <c r="G140" s="11" t="s">
        <v>39</v>
      </c>
      <c r="H140" s="11" t="s">
        <v>39</v>
      </c>
      <c r="I140" s="8"/>
      <c r="J140" s="9" t="s">
        <v>40</v>
      </c>
      <c r="K140" s="9" t="s">
        <v>41</v>
      </c>
    </row>
    <row r="141" spans="1:11" x14ac:dyDescent="0.25">
      <c r="A141" s="4">
        <v>87</v>
      </c>
      <c r="B141" s="5" t="s">
        <v>425</v>
      </c>
      <c r="C141" s="12">
        <v>8.49</v>
      </c>
      <c r="D141" s="13" t="s">
        <v>22</v>
      </c>
      <c r="E141" s="5" t="s">
        <v>128</v>
      </c>
      <c r="F141" s="5" t="s">
        <v>426</v>
      </c>
      <c r="G141" s="5" t="s">
        <v>427</v>
      </c>
      <c r="H141" s="5" t="s">
        <v>428</v>
      </c>
      <c r="I141" s="8"/>
      <c r="J141" s="9" t="s">
        <v>423</v>
      </c>
      <c r="K141" s="9" t="s">
        <v>424</v>
      </c>
    </row>
    <row r="142" spans="1:11" x14ac:dyDescent="0.25">
      <c r="A142" s="4">
        <v>19</v>
      </c>
      <c r="B142" s="5" t="s">
        <v>105</v>
      </c>
      <c r="C142" s="12">
        <v>8.31</v>
      </c>
      <c r="D142" s="13" t="s">
        <v>22</v>
      </c>
      <c r="E142" s="5" t="s">
        <v>106</v>
      </c>
      <c r="F142" s="5" t="s">
        <v>107</v>
      </c>
      <c r="G142" s="5" t="s">
        <v>108</v>
      </c>
      <c r="H142" s="5" t="s">
        <v>109</v>
      </c>
      <c r="I142" s="8"/>
      <c r="J142" s="9" t="s">
        <v>110</v>
      </c>
      <c r="K142" s="9" t="s">
        <v>104</v>
      </c>
    </row>
    <row r="143" spans="1:11" x14ac:dyDescent="0.25">
      <c r="A143" s="10">
        <v>86</v>
      </c>
      <c r="B143" s="11" t="s">
        <v>422</v>
      </c>
      <c r="C143" s="12">
        <v>8.0399999999999991</v>
      </c>
      <c r="D143" s="13" t="s">
        <v>22</v>
      </c>
      <c r="E143" s="11" t="s">
        <v>13</v>
      </c>
      <c r="F143" s="11" t="s">
        <v>286</v>
      </c>
      <c r="G143" s="11" t="s">
        <v>286</v>
      </c>
      <c r="H143" s="11" t="s">
        <v>286</v>
      </c>
      <c r="I143" s="8"/>
      <c r="J143" s="9" t="s">
        <v>423</v>
      </c>
      <c r="K143" s="9" t="s">
        <v>424</v>
      </c>
    </row>
    <row r="144" spans="1:11" x14ac:dyDescent="0.25">
      <c r="A144" s="4">
        <v>37</v>
      </c>
      <c r="B144" s="5" t="s">
        <v>207</v>
      </c>
      <c r="C144" s="12">
        <v>8.0299999999999994</v>
      </c>
      <c r="D144" s="13" t="s">
        <v>22</v>
      </c>
      <c r="E144" s="5" t="s">
        <v>13</v>
      </c>
      <c r="F144" s="5" t="s">
        <v>130</v>
      </c>
      <c r="G144" s="5" t="s">
        <v>130</v>
      </c>
      <c r="H144" s="5" t="s">
        <v>130</v>
      </c>
      <c r="I144" s="8"/>
      <c r="J144" s="9" t="s">
        <v>208</v>
      </c>
      <c r="K144" s="9" t="s">
        <v>195</v>
      </c>
    </row>
    <row r="145" spans="1:11" x14ac:dyDescent="0.25">
      <c r="A145" s="10">
        <v>20</v>
      </c>
      <c r="B145" s="11" t="s">
        <v>111</v>
      </c>
      <c r="C145" s="12">
        <v>7.99</v>
      </c>
      <c r="D145" s="13" t="s">
        <v>22</v>
      </c>
      <c r="E145" s="11" t="s">
        <v>112</v>
      </c>
      <c r="F145" s="11" t="s">
        <v>113</v>
      </c>
      <c r="G145" s="11" t="s">
        <v>114</v>
      </c>
      <c r="H145" s="11" t="s">
        <v>115</v>
      </c>
      <c r="I145" s="8"/>
      <c r="J145" s="9" t="s">
        <v>116</v>
      </c>
      <c r="K145" s="9" t="s">
        <v>104</v>
      </c>
    </row>
    <row r="146" spans="1:11" x14ac:dyDescent="0.25">
      <c r="A146" s="4">
        <v>145</v>
      </c>
      <c r="B146" s="5" t="s">
        <v>658</v>
      </c>
      <c r="C146" s="12">
        <v>7.49</v>
      </c>
      <c r="D146" s="13" t="s">
        <v>22</v>
      </c>
      <c r="E146" s="5" t="s">
        <v>659</v>
      </c>
      <c r="F146" s="5" t="s">
        <v>660</v>
      </c>
      <c r="G146" s="5" t="s">
        <v>661</v>
      </c>
      <c r="H146" s="5" t="s">
        <v>662</v>
      </c>
      <c r="I146" s="8"/>
      <c r="J146" s="9" t="s">
        <v>663</v>
      </c>
      <c r="K146" s="9" t="s">
        <v>657</v>
      </c>
    </row>
    <row r="147" spans="1:11" x14ac:dyDescent="0.25">
      <c r="A147" s="4">
        <v>155</v>
      </c>
      <c r="B147" s="5" t="s">
        <v>696</v>
      </c>
      <c r="C147" s="12">
        <v>7.3</v>
      </c>
      <c r="D147" s="7" t="s">
        <v>12</v>
      </c>
      <c r="E147" s="5" t="s">
        <v>13</v>
      </c>
      <c r="F147" s="5" t="s">
        <v>697</v>
      </c>
      <c r="G147" s="5" t="s">
        <v>697</v>
      </c>
      <c r="H147" s="5" t="s">
        <v>697</v>
      </c>
      <c r="I147" s="8"/>
      <c r="J147" s="9" t="s">
        <v>684</v>
      </c>
      <c r="K147" s="9" t="s">
        <v>679</v>
      </c>
    </row>
    <row r="148" spans="1:11" x14ac:dyDescent="0.25">
      <c r="A148" s="10">
        <v>28</v>
      </c>
      <c r="B148" s="11" t="s">
        <v>157</v>
      </c>
      <c r="C148" s="12">
        <v>7.28</v>
      </c>
      <c r="D148" s="13" t="s">
        <v>22</v>
      </c>
      <c r="E148" s="11" t="s">
        <v>158</v>
      </c>
      <c r="F148" s="11" t="s">
        <v>159</v>
      </c>
      <c r="G148" s="11" t="s">
        <v>45</v>
      </c>
      <c r="H148" s="11" t="s">
        <v>160</v>
      </c>
      <c r="I148" s="8"/>
      <c r="J148" s="9" t="s">
        <v>161</v>
      </c>
      <c r="K148" s="9" t="s">
        <v>150</v>
      </c>
    </row>
    <row r="149" spans="1:11" x14ac:dyDescent="0.25">
      <c r="A149" s="10">
        <v>56</v>
      </c>
      <c r="B149" s="11" t="s">
        <v>296</v>
      </c>
      <c r="C149" s="12">
        <v>7.15</v>
      </c>
      <c r="D149" s="7" t="s">
        <v>12</v>
      </c>
      <c r="E149" s="11" t="s">
        <v>128</v>
      </c>
      <c r="F149" s="11" t="s">
        <v>297</v>
      </c>
      <c r="G149" s="11" t="s">
        <v>298</v>
      </c>
      <c r="H149" s="11" t="s">
        <v>299</v>
      </c>
      <c r="I149" s="8"/>
      <c r="J149" s="9" t="s">
        <v>97</v>
      </c>
      <c r="K149" s="9" t="s">
        <v>214</v>
      </c>
    </row>
    <row r="150" spans="1:11" x14ac:dyDescent="0.25">
      <c r="A150" s="4">
        <v>101</v>
      </c>
      <c r="B150" s="5" t="s">
        <v>487</v>
      </c>
      <c r="C150" s="12">
        <v>7.06</v>
      </c>
      <c r="D150" s="7" t="s">
        <v>12</v>
      </c>
      <c r="E150" s="5" t="s">
        <v>326</v>
      </c>
      <c r="F150" s="5" t="s">
        <v>488</v>
      </c>
      <c r="G150" s="5" t="s">
        <v>489</v>
      </c>
      <c r="H150" s="5" t="s">
        <v>490</v>
      </c>
      <c r="I150" s="8"/>
      <c r="J150" s="9" t="s">
        <v>189</v>
      </c>
      <c r="K150" s="9" t="s">
        <v>410</v>
      </c>
    </row>
    <row r="151" spans="1:11" x14ac:dyDescent="0.25">
      <c r="A151" s="10">
        <v>14</v>
      </c>
      <c r="B151" s="11" t="s">
        <v>79</v>
      </c>
      <c r="C151" s="12">
        <v>6.85</v>
      </c>
      <c r="D151" s="13" t="s">
        <v>22</v>
      </c>
      <c r="E151" s="11" t="s">
        <v>29</v>
      </c>
      <c r="F151" s="11" t="s">
        <v>80</v>
      </c>
      <c r="G151" s="11" t="s">
        <v>81</v>
      </c>
      <c r="H151" s="11" t="s">
        <v>82</v>
      </c>
      <c r="I151" s="8"/>
      <c r="J151" s="9" t="s">
        <v>83</v>
      </c>
      <c r="K151" s="9" t="s">
        <v>84</v>
      </c>
    </row>
    <row r="152" spans="1:11" x14ac:dyDescent="0.25">
      <c r="A152" s="10">
        <v>116</v>
      </c>
      <c r="B152" s="11" t="s">
        <v>546</v>
      </c>
      <c r="C152" s="12">
        <v>6.81</v>
      </c>
      <c r="D152" s="18" t="s">
        <v>123</v>
      </c>
      <c r="E152" s="11" t="s">
        <v>13</v>
      </c>
      <c r="F152" s="11" t="s">
        <v>547</v>
      </c>
      <c r="G152" s="11" t="s">
        <v>547</v>
      </c>
      <c r="H152" s="11" t="s">
        <v>547</v>
      </c>
      <c r="I152" s="8"/>
      <c r="J152" s="9" t="s">
        <v>548</v>
      </c>
      <c r="K152" s="9" t="s">
        <v>523</v>
      </c>
    </row>
    <row r="153" spans="1:11" x14ac:dyDescent="0.25">
      <c r="A153" s="10">
        <v>100</v>
      </c>
      <c r="B153" s="11" t="s">
        <v>484</v>
      </c>
      <c r="C153" s="12">
        <v>6.76</v>
      </c>
      <c r="D153" s="16" t="s">
        <v>50</v>
      </c>
      <c r="E153" s="11" t="s">
        <v>435</v>
      </c>
      <c r="F153" s="11" t="s">
        <v>485</v>
      </c>
      <c r="G153" s="11" t="s">
        <v>45</v>
      </c>
      <c r="H153" s="11" t="s">
        <v>486</v>
      </c>
      <c r="I153" s="8"/>
      <c r="J153" s="9" t="s">
        <v>87</v>
      </c>
      <c r="K153" s="9" t="s">
        <v>150</v>
      </c>
    </row>
    <row r="154" spans="1:11" x14ac:dyDescent="0.25">
      <c r="A154" s="4">
        <v>59</v>
      </c>
      <c r="B154" s="5" t="s">
        <v>307</v>
      </c>
      <c r="C154" s="12">
        <v>6.57</v>
      </c>
      <c r="D154" s="13" t="s">
        <v>22</v>
      </c>
      <c r="E154" s="5" t="s">
        <v>128</v>
      </c>
      <c r="F154" s="5" t="s">
        <v>308</v>
      </c>
      <c r="G154" s="5" t="s">
        <v>309</v>
      </c>
      <c r="H154" s="5" t="s">
        <v>310</v>
      </c>
      <c r="I154" s="8"/>
      <c r="J154" s="9" t="s">
        <v>311</v>
      </c>
      <c r="K154" s="9" t="s">
        <v>312</v>
      </c>
    </row>
    <row r="155" spans="1:11" x14ac:dyDescent="0.25">
      <c r="A155" s="10">
        <v>78</v>
      </c>
      <c r="B155" s="11" t="s">
        <v>393</v>
      </c>
      <c r="C155" s="12">
        <v>6.56</v>
      </c>
      <c r="D155" s="7" t="s">
        <v>12</v>
      </c>
      <c r="E155" s="11" t="s">
        <v>326</v>
      </c>
      <c r="F155" s="11" t="s">
        <v>394</v>
      </c>
      <c r="G155" s="11" t="s">
        <v>395</v>
      </c>
      <c r="H155" s="11" t="s">
        <v>396</v>
      </c>
      <c r="I155" s="8"/>
      <c r="J155" s="9" t="s">
        <v>397</v>
      </c>
      <c r="K155" s="9" t="s">
        <v>391</v>
      </c>
    </row>
    <row r="156" spans="1:11" x14ac:dyDescent="0.25">
      <c r="A156" s="10">
        <v>54</v>
      </c>
      <c r="B156" s="11" t="s">
        <v>288</v>
      </c>
      <c r="C156" s="12">
        <v>6.55</v>
      </c>
      <c r="D156" s="7" t="s">
        <v>12</v>
      </c>
      <c r="E156" s="11" t="s">
        <v>29</v>
      </c>
      <c r="F156" s="11" t="s">
        <v>289</v>
      </c>
      <c r="G156" s="11" t="s">
        <v>290</v>
      </c>
      <c r="H156" s="11" t="s">
        <v>291</v>
      </c>
      <c r="I156" s="8"/>
      <c r="J156" s="9" t="s">
        <v>292</v>
      </c>
      <c r="K156" s="9" t="s">
        <v>214</v>
      </c>
    </row>
    <row r="157" spans="1:11" x14ac:dyDescent="0.25">
      <c r="A157" s="10">
        <v>88</v>
      </c>
      <c r="B157" s="11" t="s">
        <v>429</v>
      </c>
      <c r="C157" s="12">
        <v>6.5</v>
      </c>
      <c r="D157" s="13" t="s">
        <v>22</v>
      </c>
      <c r="E157" s="11" t="s">
        <v>29</v>
      </c>
      <c r="F157" s="11" t="s">
        <v>430</v>
      </c>
      <c r="G157" s="11" t="s">
        <v>363</v>
      </c>
      <c r="H157" s="11" t="s">
        <v>431</v>
      </c>
      <c r="I157" s="8"/>
      <c r="J157" s="9" t="s">
        <v>432</v>
      </c>
      <c r="K157" s="9" t="s">
        <v>433</v>
      </c>
    </row>
    <row r="158" spans="1:11" x14ac:dyDescent="0.25">
      <c r="A158" s="4">
        <v>157</v>
      </c>
      <c r="B158" s="5" t="s">
        <v>703</v>
      </c>
      <c r="C158" s="12">
        <v>6.42</v>
      </c>
      <c r="D158" s="7" t="s">
        <v>12</v>
      </c>
      <c r="E158" s="5" t="s">
        <v>13</v>
      </c>
      <c r="F158" s="5" t="s">
        <v>704</v>
      </c>
      <c r="G158" s="5" t="s">
        <v>704</v>
      </c>
      <c r="H158" s="5" t="s">
        <v>704</v>
      </c>
      <c r="I158" s="8"/>
      <c r="J158" s="9" t="s">
        <v>705</v>
      </c>
      <c r="K158" s="9" t="s">
        <v>679</v>
      </c>
    </row>
    <row r="159" spans="1:11" x14ac:dyDescent="0.25">
      <c r="A159" s="10">
        <v>146</v>
      </c>
      <c r="B159" s="11" t="s">
        <v>664</v>
      </c>
      <c r="C159" s="12">
        <v>6.11</v>
      </c>
      <c r="D159" s="7" t="s">
        <v>12</v>
      </c>
      <c r="E159" s="11" t="s">
        <v>665</v>
      </c>
      <c r="F159" s="11" t="s">
        <v>666</v>
      </c>
      <c r="G159" s="11" t="s">
        <v>655</v>
      </c>
      <c r="H159" s="11" t="s">
        <v>667</v>
      </c>
      <c r="I159" s="8"/>
      <c r="J159" s="9" t="s">
        <v>668</v>
      </c>
      <c r="K159" s="9" t="s">
        <v>657</v>
      </c>
    </row>
    <row r="160" spans="1:11" x14ac:dyDescent="0.25">
      <c r="A160" s="4">
        <v>71</v>
      </c>
      <c r="B160" s="5" t="s">
        <v>366</v>
      </c>
      <c r="C160" s="12">
        <v>6.01</v>
      </c>
      <c r="D160" s="7" t="s">
        <v>12</v>
      </c>
      <c r="E160" s="5" t="s">
        <v>128</v>
      </c>
      <c r="F160" s="5" t="s">
        <v>367</v>
      </c>
      <c r="G160" s="5" t="s">
        <v>368</v>
      </c>
      <c r="H160" s="5" t="s">
        <v>369</v>
      </c>
      <c r="I160" s="8"/>
      <c r="J160" s="9" t="s">
        <v>370</v>
      </c>
      <c r="K160" s="9" t="s">
        <v>195</v>
      </c>
    </row>
    <row r="161" spans="1:11" x14ac:dyDescent="0.25">
      <c r="A161" s="4">
        <v>39</v>
      </c>
      <c r="B161" s="5" t="s">
        <v>215</v>
      </c>
      <c r="C161" s="12">
        <v>5.85</v>
      </c>
      <c r="D161" s="7" t="s">
        <v>12</v>
      </c>
      <c r="E161" s="5" t="s">
        <v>216</v>
      </c>
      <c r="F161" s="5" t="s">
        <v>217</v>
      </c>
      <c r="G161" s="5" t="s">
        <v>36</v>
      </c>
      <c r="H161" s="5" t="s">
        <v>218</v>
      </c>
      <c r="I161" s="8"/>
      <c r="J161" s="9" t="s">
        <v>219</v>
      </c>
      <c r="K161" s="9" t="s">
        <v>214</v>
      </c>
    </row>
    <row r="162" spans="1:11" x14ac:dyDescent="0.25">
      <c r="A162" s="4">
        <v>9</v>
      </c>
      <c r="B162" s="5" t="s">
        <v>56</v>
      </c>
      <c r="C162" s="12">
        <v>5.64</v>
      </c>
      <c r="D162" s="13" t="s">
        <v>22</v>
      </c>
      <c r="E162" s="5" t="s">
        <v>57</v>
      </c>
      <c r="F162" s="5" t="s">
        <v>58</v>
      </c>
      <c r="G162" s="5" t="s">
        <v>59</v>
      </c>
      <c r="H162" s="5" t="s">
        <v>60</v>
      </c>
      <c r="I162" s="8"/>
      <c r="J162" s="9" t="s">
        <v>61</v>
      </c>
      <c r="K162" s="9" t="s">
        <v>48</v>
      </c>
    </row>
    <row r="163" spans="1:11" x14ac:dyDescent="0.25">
      <c r="A163" s="4">
        <v>27</v>
      </c>
      <c r="B163" s="5" t="s">
        <v>151</v>
      </c>
      <c r="C163" s="12">
        <v>5.47</v>
      </c>
      <c r="D163" s="13" t="s">
        <v>22</v>
      </c>
      <c r="E163" s="5" t="s">
        <v>152</v>
      </c>
      <c r="F163" s="5" t="s">
        <v>153</v>
      </c>
      <c r="G163" s="5" t="s">
        <v>154</v>
      </c>
      <c r="H163" s="5" t="s">
        <v>155</v>
      </c>
      <c r="I163" s="8"/>
      <c r="J163" s="9" t="s">
        <v>156</v>
      </c>
      <c r="K163" s="9" t="s">
        <v>150</v>
      </c>
    </row>
    <row r="164" spans="1:11" x14ac:dyDescent="0.25">
      <c r="A164" s="10">
        <v>22</v>
      </c>
      <c r="B164" s="11" t="s">
        <v>122</v>
      </c>
      <c r="C164" s="12">
        <v>5.34</v>
      </c>
      <c r="D164" s="18" t="s">
        <v>123</v>
      </c>
      <c r="E164" s="11" t="s">
        <v>13</v>
      </c>
      <c r="F164" s="11" t="s">
        <v>124</v>
      </c>
      <c r="G164" s="11" t="s">
        <v>124</v>
      </c>
      <c r="H164" s="11" t="s">
        <v>124</v>
      </c>
      <c r="I164" s="8"/>
      <c r="J164" s="9" t="s">
        <v>125</v>
      </c>
      <c r="K164" s="9" t="s">
        <v>126</v>
      </c>
    </row>
    <row r="165" spans="1:11" x14ac:dyDescent="0.25">
      <c r="A165" s="4">
        <v>65</v>
      </c>
      <c r="B165" s="5" t="s">
        <v>335</v>
      </c>
      <c r="C165" s="12">
        <v>5.3</v>
      </c>
      <c r="D165" s="13" t="s">
        <v>22</v>
      </c>
      <c r="E165" s="5" t="s">
        <v>216</v>
      </c>
      <c r="F165" s="5" t="s">
        <v>336</v>
      </c>
      <c r="G165" s="5" t="s">
        <v>337</v>
      </c>
      <c r="H165" s="5" t="s">
        <v>338</v>
      </c>
      <c r="I165" s="8"/>
      <c r="J165" s="9" t="s">
        <v>339</v>
      </c>
      <c r="K165" s="9" t="s">
        <v>312</v>
      </c>
    </row>
    <row r="166" spans="1:11" x14ac:dyDescent="0.25">
      <c r="A166" s="10">
        <v>10</v>
      </c>
      <c r="B166" s="11" t="s">
        <v>62</v>
      </c>
      <c r="C166" s="12">
        <v>5.03</v>
      </c>
      <c r="D166" s="13" t="s">
        <v>22</v>
      </c>
      <c r="E166" s="11" t="s">
        <v>63</v>
      </c>
      <c r="F166" s="11" t="s">
        <v>64</v>
      </c>
      <c r="G166" s="11" t="s">
        <v>65</v>
      </c>
      <c r="H166" s="11" t="s">
        <v>66</v>
      </c>
      <c r="I166" s="8"/>
      <c r="J166" s="9" t="s">
        <v>67</v>
      </c>
      <c r="K166" s="9" t="s">
        <v>48</v>
      </c>
    </row>
    <row r="167" spans="1:11" x14ac:dyDescent="0.25">
      <c r="A167" s="10">
        <v>2</v>
      </c>
      <c r="B167" s="11" t="s">
        <v>17</v>
      </c>
      <c r="C167" s="12">
        <v>5</v>
      </c>
      <c r="D167" s="7" t="s">
        <v>12</v>
      </c>
      <c r="E167" s="11" t="s">
        <v>13</v>
      </c>
      <c r="F167" s="11" t="s">
        <v>18</v>
      </c>
      <c r="G167" s="11" t="s">
        <v>18</v>
      </c>
      <c r="H167" s="11" t="s">
        <v>18</v>
      </c>
      <c r="I167" s="8"/>
      <c r="J167" s="9" t="s">
        <v>19</v>
      </c>
      <c r="K167" s="9" t="s">
        <v>20</v>
      </c>
    </row>
    <row r="168" spans="1:11" x14ac:dyDescent="0.25">
      <c r="A168" s="10">
        <v>4</v>
      </c>
      <c r="B168" s="11" t="s">
        <v>28</v>
      </c>
      <c r="C168" s="12">
        <v>5</v>
      </c>
      <c r="D168" s="13" t="s">
        <v>22</v>
      </c>
      <c r="E168" s="11" t="s">
        <v>29</v>
      </c>
      <c r="F168" s="11" t="s">
        <v>30</v>
      </c>
      <c r="G168" s="11" t="s">
        <v>31</v>
      </c>
      <c r="H168" s="11" t="s">
        <v>32</v>
      </c>
      <c r="I168" s="8"/>
      <c r="J168" s="9" t="s">
        <v>33</v>
      </c>
      <c r="K168" s="9" t="s">
        <v>34</v>
      </c>
    </row>
    <row r="169" spans="1:11" x14ac:dyDescent="0.25">
      <c r="A169" s="10">
        <v>76</v>
      </c>
      <c r="B169" s="11" t="s">
        <v>389</v>
      </c>
      <c r="C169" s="12">
        <v>5</v>
      </c>
      <c r="D169" s="17" t="s">
        <v>77</v>
      </c>
      <c r="E169" s="11" t="s">
        <v>118</v>
      </c>
      <c r="F169" s="11"/>
      <c r="G169" s="11" t="s">
        <v>119</v>
      </c>
      <c r="H169" s="11" t="s">
        <v>119</v>
      </c>
      <c r="I169" s="8"/>
      <c r="J169" s="9" t="s">
        <v>390</v>
      </c>
      <c r="K169" s="9" t="s">
        <v>391</v>
      </c>
    </row>
    <row r="170" spans="1:11" x14ac:dyDescent="0.25">
      <c r="A170" s="4">
        <v>77</v>
      </c>
      <c r="B170" s="5" t="s">
        <v>392</v>
      </c>
      <c r="C170" s="12">
        <v>5</v>
      </c>
      <c r="D170" s="17" t="s">
        <v>77</v>
      </c>
      <c r="E170" s="5" t="s">
        <v>118</v>
      </c>
      <c r="F170" s="5"/>
      <c r="G170" s="5" t="s">
        <v>119</v>
      </c>
      <c r="H170" s="5" t="s">
        <v>119</v>
      </c>
      <c r="I170" s="8"/>
      <c r="J170" s="9" t="s">
        <v>390</v>
      </c>
      <c r="K170" s="9" t="s">
        <v>391</v>
      </c>
    </row>
    <row r="171" spans="1:11" x14ac:dyDescent="0.25">
      <c r="A171" s="14">
        <v>7</v>
      </c>
      <c r="B171" s="15" t="s">
        <v>42</v>
      </c>
      <c r="C171" s="12">
        <v>4.91</v>
      </c>
      <c r="D171" s="13" t="s">
        <v>22</v>
      </c>
      <c r="E171" s="15" t="s">
        <v>43</v>
      </c>
      <c r="F171" s="15" t="s">
        <v>44</v>
      </c>
      <c r="G171" s="15" t="s">
        <v>45</v>
      </c>
      <c r="H171" s="15" t="s">
        <v>46</v>
      </c>
      <c r="I171" s="8"/>
      <c r="J171" s="9" t="s">
        <v>47</v>
      </c>
      <c r="K171" s="9" t="s">
        <v>48</v>
      </c>
    </row>
    <row r="172" spans="1:11" x14ac:dyDescent="0.25">
      <c r="A172" s="14">
        <v>130</v>
      </c>
      <c r="B172" s="15" t="s">
        <v>596</v>
      </c>
      <c r="C172" s="12">
        <v>4.8600000000000003</v>
      </c>
      <c r="D172" s="7" t="s">
        <v>12</v>
      </c>
      <c r="E172" s="15" t="s">
        <v>29</v>
      </c>
      <c r="F172" s="15" t="s">
        <v>597</v>
      </c>
      <c r="G172" s="15" t="s">
        <v>598</v>
      </c>
      <c r="H172" s="15" t="s">
        <v>599</v>
      </c>
      <c r="I172" s="8"/>
      <c r="J172" s="9" t="s">
        <v>553</v>
      </c>
      <c r="K172" s="9" t="s">
        <v>565</v>
      </c>
    </row>
    <row r="173" spans="1:11" x14ac:dyDescent="0.25">
      <c r="A173" s="14">
        <v>89</v>
      </c>
      <c r="B173" s="15" t="s">
        <v>434</v>
      </c>
      <c r="C173" s="12">
        <v>4.4800000000000004</v>
      </c>
      <c r="D173" s="7" t="s">
        <v>12</v>
      </c>
      <c r="E173" s="15" t="s">
        <v>435</v>
      </c>
      <c r="F173" s="15" t="s">
        <v>436</v>
      </c>
      <c r="G173" s="15" t="s">
        <v>437</v>
      </c>
      <c r="H173" s="15" t="s">
        <v>438</v>
      </c>
      <c r="I173" s="8"/>
      <c r="J173" s="9" t="s">
        <v>439</v>
      </c>
      <c r="K173" s="9" t="s">
        <v>440</v>
      </c>
    </row>
    <row r="174" spans="1:11" x14ac:dyDescent="0.25">
      <c r="A174" s="14">
        <v>176</v>
      </c>
      <c r="B174" s="15" t="s">
        <v>787</v>
      </c>
      <c r="C174" s="12">
        <v>4.24</v>
      </c>
      <c r="D174" s="13" t="s">
        <v>22</v>
      </c>
      <c r="E174" s="15" t="s">
        <v>788</v>
      </c>
      <c r="F174" s="15" t="s">
        <v>789</v>
      </c>
      <c r="G174" s="15" t="s">
        <v>282</v>
      </c>
      <c r="H174" s="15" t="s">
        <v>790</v>
      </c>
      <c r="I174" s="8"/>
      <c r="J174" s="9" t="s">
        <v>791</v>
      </c>
      <c r="K174" s="9" t="s">
        <v>150</v>
      </c>
    </row>
    <row r="175" spans="1:11" x14ac:dyDescent="0.25">
      <c r="A175" s="4">
        <v>17</v>
      </c>
      <c r="B175" s="5" t="s">
        <v>95</v>
      </c>
      <c r="C175" s="12">
        <v>4</v>
      </c>
      <c r="D175" s="13" t="s">
        <v>22</v>
      </c>
      <c r="E175" s="5" t="s">
        <v>13</v>
      </c>
      <c r="F175" s="5" t="s">
        <v>96</v>
      </c>
      <c r="G175" s="5" t="s">
        <v>96</v>
      </c>
      <c r="H175" s="5" t="s">
        <v>96</v>
      </c>
      <c r="I175" s="8"/>
      <c r="J175" s="9" t="s">
        <v>97</v>
      </c>
      <c r="K175" s="9" t="s">
        <v>98</v>
      </c>
    </row>
    <row r="176" spans="1:11" x14ac:dyDescent="0.25">
      <c r="A176" s="14">
        <v>47</v>
      </c>
      <c r="B176" s="15" t="s">
        <v>257</v>
      </c>
      <c r="C176" s="12">
        <v>4</v>
      </c>
      <c r="D176" s="13" t="s">
        <v>22</v>
      </c>
      <c r="E176" s="15" t="s">
        <v>112</v>
      </c>
      <c r="F176" s="15" t="s">
        <v>258</v>
      </c>
      <c r="G176" s="15" t="s">
        <v>259</v>
      </c>
      <c r="H176" s="15" t="s">
        <v>260</v>
      </c>
      <c r="I176" s="8"/>
      <c r="J176" s="9" t="s">
        <v>261</v>
      </c>
      <c r="K176" s="9" t="s">
        <v>195</v>
      </c>
    </row>
    <row r="177" spans="1:11" x14ac:dyDescent="0.25">
      <c r="A177" s="14">
        <v>125</v>
      </c>
      <c r="B177" s="15" t="s">
        <v>576</v>
      </c>
      <c r="C177" s="12">
        <v>3.99</v>
      </c>
      <c r="D177" s="13" t="s">
        <v>22</v>
      </c>
      <c r="E177" s="15" t="s">
        <v>29</v>
      </c>
      <c r="F177" s="15" t="s">
        <v>577</v>
      </c>
      <c r="G177" s="15" t="s">
        <v>578</v>
      </c>
      <c r="H177" s="15" t="s">
        <v>579</v>
      </c>
      <c r="I177" s="8"/>
      <c r="J177" s="9" t="s">
        <v>580</v>
      </c>
      <c r="K177" s="9" t="s">
        <v>575</v>
      </c>
    </row>
    <row r="178" spans="1:11" x14ac:dyDescent="0.25">
      <c r="A178" s="14">
        <v>48</v>
      </c>
      <c r="B178" s="15" t="s">
        <v>262</v>
      </c>
      <c r="C178" s="12">
        <v>3.98</v>
      </c>
      <c r="D178" s="13" t="s">
        <v>22</v>
      </c>
      <c r="E178" s="15" t="s">
        <v>263</v>
      </c>
      <c r="F178" s="15" t="s">
        <v>264</v>
      </c>
      <c r="G178" s="15" t="s">
        <v>265</v>
      </c>
      <c r="H178" s="15" t="s">
        <v>109</v>
      </c>
      <c r="I178" s="8"/>
      <c r="J178" s="9" t="s">
        <v>266</v>
      </c>
      <c r="K178" s="9" t="s">
        <v>195</v>
      </c>
    </row>
    <row r="179" spans="1:11" x14ac:dyDescent="0.25">
      <c r="A179" s="14">
        <v>34</v>
      </c>
      <c r="B179" s="15" t="s">
        <v>190</v>
      </c>
      <c r="C179" s="12">
        <v>3</v>
      </c>
      <c r="D179" s="13" t="s">
        <v>22</v>
      </c>
      <c r="E179" s="15" t="s">
        <v>128</v>
      </c>
      <c r="F179" s="15" t="s">
        <v>191</v>
      </c>
      <c r="G179" s="15" t="s">
        <v>192</v>
      </c>
      <c r="H179" s="15" t="s">
        <v>193</v>
      </c>
      <c r="I179" s="8"/>
      <c r="J179" s="9" t="s">
        <v>194</v>
      </c>
      <c r="K179" s="9" t="s">
        <v>195</v>
      </c>
    </row>
    <row r="180" spans="1:11" x14ac:dyDescent="0.25">
      <c r="A180" s="14">
        <v>105</v>
      </c>
      <c r="B180" s="15" t="s">
        <v>504</v>
      </c>
      <c r="C180" s="12">
        <v>3</v>
      </c>
      <c r="D180" s="17" t="s">
        <v>77</v>
      </c>
      <c r="E180" s="15" t="s">
        <v>118</v>
      </c>
      <c r="F180" s="15"/>
      <c r="G180" s="15" t="s">
        <v>119</v>
      </c>
      <c r="H180" s="15" t="s">
        <v>119</v>
      </c>
      <c r="I180" s="8"/>
      <c r="J180" s="9" t="s">
        <v>505</v>
      </c>
      <c r="K180" s="9" t="s">
        <v>410</v>
      </c>
    </row>
    <row r="181" spans="1:11" x14ac:dyDescent="0.25">
      <c r="A181" s="14">
        <v>75</v>
      </c>
      <c r="B181" s="15" t="s">
        <v>384</v>
      </c>
      <c r="C181" s="12">
        <v>2.93</v>
      </c>
      <c r="D181" s="13" t="s">
        <v>22</v>
      </c>
      <c r="E181" s="15" t="s">
        <v>128</v>
      </c>
      <c r="F181" s="15" t="s">
        <v>385</v>
      </c>
      <c r="G181" s="15" t="s">
        <v>386</v>
      </c>
      <c r="H181" s="15" t="s">
        <v>387</v>
      </c>
      <c r="I181" s="8"/>
      <c r="J181" s="9" t="s">
        <v>388</v>
      </c>
      <c r="K181" s="9" t="s">
        <v>195</v>
      </c>
    </row>
    <row r="182" spans="1:11" x14ac:dyDescent="0.25">
      <c r="A182" s="14">
        <v>5</v>
      </c>
      <c r="B182" s="15" t="s">
        <v>35</v>
      </c>
      <c r="C182" s="12">
        <v>2.92</v>
      </c>
      <c r="D182" s="13" t="s">
        <v>22</v>
      </c>
      <c r="E182" s="15" t="s">
        <v>13</v>
      </c>
      <c r="F182" s="15" t="s">
        <v>36</v>
      </c>
      <c r="G182" s="15" t="s">
        <v>36</v>
      </c>
      <c r="H182" s="15" t="s">
        <v>36</v>
      </c>
      <c r="I182" s="8"/>
      <c r="J182" s="9" t="s">
        <v>37</v>
      </c>
      <c r="K182" s="9" t="s">
        <v>34</v>
      </c>
    </row>
    <row r="183" spans="1:11" x14ac:dyDescent="0.25">
      <c r="A183" s="14">
        <v>144</v>
      </c>
      <c r="B183" s="15" t="s">
        <v>653</v>
      </c>
      <c r="C183" s="12">
        <v>2.91</v>
      </c>
      <c r="D183" s="7" t="s">
        <v>12</v>
      </c>
      <c r="E183" s="15" t="s">
        <v>332</v>
      </c>
      <c r="F183" s="15" t="s">
        <v>654</v>
      </c>
      <c r="G183" s="15" t="s">
        <v>655</v>
      </c>
      <c r="H183" s="15" t="s">
        <v>286</v>
      </c>
      <c r="I183" s="8"/>
      <c r="J183" s="9" t="s">
        <v>656</v>
      </c>
      <c r="K183" s="9" t="s">
        <v>657</v>
      </c>
    </row>
    <row r="184" spans="1:11" x14ac:dyDescent="0.25">
      <c r="A184" s="14">
        <v>49</v>
      </c>
      <c r="B184" s="15" t="s">
        <v>267</v>
      </c>
      <c r="C184" s="12">
        <v>2.69</v>
      </c>
      <c r="D184" s="13" t="s">
        <v>22</v>
      </c>
      <c r="E184" s="15" t="s">
        <v>268</v>
      </c>
      <c r="F184" s="15" t="s">
        <v>269</v>
      </c>
      <c r="G184" s="15" t="s">
        <v>45</v>
      </c>
      <c r="H184" s="15" t="s">
        <v>270</v>
      </c>
      <c r="I184" s="8"/>
      <c r="J184" s="9" t="s">
        <v>271</v>
      </c>
      <c r="K184" s="9" t="s">
        <v>195</v>
      </c>
    </row>
    <row r="185" spans="1:11" x14ac:dyDescent="0.25">
      <c r="A185" s="14">
        <v>80</v>
      </c>
      <c r="B185" s="15" t="s">
        <v>402</v>
      </c>
      <c r="C185" s="12">
        <v>2.37</v>
      </c>
      <c r="D185" s="7" t="s">
        <v>12</v>
      </c>
      <c r="E185" s="15" t="s">
        <v>29</v>
      </c>
      <c r="F185" s="15" t="s">
        <v>403</v>
      </c>
      <c r="G185" s="15" t="s">
        <v>404</v>
      </c>
      <c r="H185" s="15" t="s">
        <v>405</v>
      </c>
      <c r="I185" s="8"/>
      <c r="J185" s="9" t="s">
        <v>406</v>
      </c>
      <c r="K185" s="9" t="s">
        <v>214</v>
      </c>
    </row>
    <row r="186" spans="1:11" x14ac:dyDescent="0.25">
      <c r="A186" s="14">
        <v>158</v>
      </c>
      <c r="B186" s="15" t="s">
        <v>706</v>
      </c>
      <c r="C186" s="12">
        <v>2.11</v>
      </c>
      <c r="D186" s="13" t="s">
        <v>22</v>
      </c>
      <c r="E186" s="15" t="s">
        <v>13</v>
      </c>
      <c r="F186" s="15" t="s">
        <v>707</v>
      </c>
      <c r="G186" s="15" t="s">
        <v>707</v>
      </c>
      <c r="H186" s="15" t="s">
        <v>707</v>
      </c>
      <c r="I186" s="8"/>
      <c r="J186" s="9" t="s">
        <v>708</v>
      </c>
      <c r="K186" s="9" t="s">
        <v>679</v>
      </c>
    </row>
    <row r="187" spans="1:11" x14ac:dyDescent="0.25">
      <c r="A187" s="14">
        <v>18</v>
      </c>
      <c r="B187" s="15" t="s">
        <v>99</v>
      </c>
      <c r="C187" s="12">
        <v>2</v>
      </c>
      <c r="D187" s="13" t="s">
        <v>22</v>
      </c>
      <c r="E187" s="15" t="s">
        <v>100</v>
      </c>
      <c r="F187" s="15" t="s">
        <v>101</v>
      </c>
      <c r="G187" s="15" t="s">
        <v>70</v>
      </c>
      <c r="H187" s="15" t="s">
        <v>102</v>
      </c>
      <c r="I187" s="8"/>
      <c r="J187" s="9" t="s">
        <v>103</v>
      </c>
      <c r="K187" s="9" t="s">
        <v>104</v>
      </c>
    </row>
    <row r="188" spans="1:11" x14ac:dyDescent="0.25">
      <c r="A188" s="14">
        <v>57</v>
      </c>
      <c r="B188" s="15" t="s">
        <v>300</v>
      </c>
      <c r="C188" s="12">
        <v>2</v>
      </c>
      <c r="D188" s="17" t="s">
        <v>77</v>
      </c>
      <c r="E188" s="15"/>
      <c r="F188" s="15"/>
      <c r="G188" s="15"/>
      <c r="H188" s="15"/>
      <c r="I188" s="8"/>
      <c r="J188" s="9" t="s">
        <v>301</v>
      </c>
      <c r="K188" s="9" t="s">
        <v>214</v>
      </c>
    </row>
    <row r="189" spans="1:11" x14ac:dyDescent="0.25">
      <c r="A189" s="14">
        <v>83</v>
      </c>
      <c r="B189" s="15" t="s">
        <v>414</v>
      </c>
      <c r="C189" s="12">
        <v>0.45</v>
      </c>
      <c r="D189" s="18" t="s">
        <v>123</v>
      </c>
      <c r="E189" s="15" t="s">
        <v>13</v>
      </c>
      <c r="F189" s="15" t="s">
        <v>415</v>
      </c>
      <c r="G189" s="15" t="s">
        <v>415</v>
      </c>
      <c r="H189" s="15" t="s">
        <v>415</v>
      </c>
      <c r="I189" s="8"/>
      <c r="J189" s="9" t="s">
        <v>416</v>
      </c>
      <c r="K189" s="9" t="s">
        <v>312</v>
      </c>
    </row>
    <row r="190" spans="1:11" x14ac:dyDescent="0.25">
      <c r="A190" s="14">
        <v>84</v>
      </c>
      <c r="B190" s="15" t="s">
        <v>417</v>
      </c>
      <c r="C190" s="12">
        <v>0.45</v>
      </c>
      <c r="D190" s="18" t="s">
        <v>123</v>
      </c>
      <c r="E190" s="15" t="s">
        <v>13</v>
      </c>
      <c r="F190" s="15" t="s">
        <v>415</v>
      </c>
      <c r="G190" s="15" t="s">
        <v>415</v>
      </c>
      <c r="H190" s="15" t="s">
        <v>415</v>
      </c>
      <c r="I190" s="8"/>
      <c r="J190" s="9" t="s">
        <v>418</v>
      </c>
      <c r="K190" s="9" t="s">
        <v>312</v>
      </c>
    </row>
  </sheetData>
  <autoFilter ref="A1:K1" xr:uid="{00000000-0009-0000-0000-000000000000}">
    <sortState xmlns:xlrd2="http://schemas.microsoft.com/office/spreadsheetml/2017/richdata2" ref="A2:K190">
      <sortCondition descending="1" ref="C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showGridLines="0" workbookViewId="0">
      <selection activeCell="H23" sqref="H23"/>
    </sheetView>
  </sheetViews>
  <sheetFormatPr defaultRowHeight="15" x14ac:dyDescent="0.25"/>
  <cols>
    <col min="1" max="1" width="36" customWidth="1"/>
    <col min="2" max="2" width="22" customWidth="1"/>
    <col min="3" max="3" width="40" customWidth="1"/>
  </cols>
  <sheetData>
    <row r="1" spans="1:3" ht="48" customHeight="1" x14ac:dyDescent="0.25">
      <c r="A1" s="73" t="s">
        <v>829</v>
      </c>
      <c r="B1" s="69"/>
      <c r="C1" s="69"/>
    </row>
    <row r="2" spans="1:3" ht="8.1" customHeight="1" x14ac:dyDescent="0.25"/>
    <row r="3" spans="1:3" ht="21.95" customHeight="1" x14ac:dyDescent="0.25">
      <c r="A3" s="74" t="s">
        <v>830</v>
      </c>
      <c r="B3" s="69"/>
      <c r="C3" s="69"/>
    </row>
    <row r="4" spans="1:3" ht="18" customHeight="1" x14ac:dyDescent="0.25">
      <c r="A4" s="19" t="s">
        <v>831</v>
      </c>
      <c r="B4" s="20">
        <v>189</v>
      </c>
    </row>
    <row r="5" spans="1:3" ht="18" customHeight="1" x14ac:dyDescent="0.25">
      <c r="A5" s="19" t="s">
        <v>832</v>
      </c>
      <c r="B5" s="20">
        <f>COUNTA('All Cards'!$C$2:$C$190)-COUNTIF('All Cards'!$C$2:$C$190,0)</f>
        <v>189</v>
      </c>
    </row>
    <row r="6" spans="1:3" ht="18" customHeight="1" x14ac:dyDescent="0.25">
      <c r="A6" s="21" t="s">
        <v>833</v>
      </c>
      <c r="B6" s="22">
        <f>COUNTIF('All Cards'!$D$2:$D$190,"manual")</f>
        <v>18</v>
      </c>
    </row>
    <row r="7" spans="1:3" ht="18" customHeight="1" x14ac:dyDescent="0.25">
      <c r="A7" s="23" t="s">
        <v>834</v>
      </c>
      <c r="B7" s="24">
        <f>COUNTIFS('All Cards'!$C$2:$C$190,"&gt;=0.01",'All Cards'!$C$2:$C$190,"&lt;5")</f>
        <v>21</v>
      </c>
    </row>
    <row r="9" spans="1:3" ht="21" customHeight="1" x14ac:dyDescent="0.25">
      <c r="A9" s="77" t="s">
        <v>835</v>
      </c>
      <c r="B9" s="69"/>
      <c r="C9" s="69"/>
    </row>
    <row r="10" spans="1:3" ht="18" customHeight="1" x14ac:dyDescent="0.25">
      <c r="A10" s="25" t="s">
        <v>836</v>
      </c>
      <c r="B10" s="26">
        <f>SUM('All Cards'!$C$2:$C$190)</f>
        <v>8091.4099999999971</v>
      </c>
    </row>
    <row r="11" spans="1:3" ht="18" customHeight="1" x14ac:dyDescent="0.25">
      <c r="A11" s="19" t="s">
        <v>837</v>
      </c>
      <c r="B11" s="27">
        <f>SUMIF('All Cards'!$D$2:$D$190,"&lt;&gt;manual",'All Cards'!$C$2:$C$190)</f>
        <v>6921.409999999998</v>
      </c>
    </row>
    <row r="12" spans="1:3" ht="18" customHeight="1" x14ac:dyDescent="0.25">
      <c r="A12" s="21" t="s">
        <v>838</v>
      </c>
      <c r="B12" s="28">
        <f>SUMIF('All Cards'!$D$2:$D$190,"manual",'All Cards'!$C$2:$C$190)</f>
        <v>1170</v>
      </c>
    </row>
    <row r="14" spans="1:3" ht="21.95" customHeight="1" x14ac:dyDescent="0.25">
      <c r="A14" s="74" t="s">
        <v>839</v>
      </c>
      <c r="B14" s="69"/>
      <c r="C14" s="69"/>
    </row>
    <row r="15" spans="1:3" ht="18" customHeight="1" x14ac:dyDescent="0.25">
      <c r="A15" s="29" t="s">
        <v>840</v>
      </c>
      <c r="B15" s="30">
        <f>SUMIF('All Cards'!$D$2:$D$190,"high",'All Cards'!$C$2:$C$190)</f>
        <v>3487.0099999999989</v>
      </c>
    </row>
    <row r="16" spans="1:3" ht="18" customHeight="1" x14ac:dyDescent="0.25">
      <c r="A16" s="31" t="s">
        <v>841</v>
      </c>
      <c r="B16" s="32">
        <f>SUMIF('All Cards'!$D$2:$D$190,"medium",'All Cards'!$C$2:$C$190)</f>
        <v>177.79999999999998</v>
      </c>
    </row>
    <row r="17" spans="1:3" ht="18" customHeight="1" x14ac:dyDescent="0.25">
      <c r="A17" s="33" t="s">
        <v>842</v>
      </c>
      <c r="B17" s="34">
        <f>SUMIF('All Cards'!$D$2:$D$190,"low",'All Cards'!$C$2:$C$190)</f>
        <v>2917.0600000000009</v>
      </c>
    </row>
    <row r="18" spans="1:3" ht="18" customHeight="1" x14ac:dyDescent="0.25">
      <c r="A18" s="35" t="s">
        <v>843</v>
      </c>
      <c r="B18" s="36">
        <f>SUMIF('All Cards'!$D$2:$D$190,"estimated",'All Cards'!$C$2:$C$190)</f>
        <v>339.53999999999996</v>
      </c>
    </row>
    <row r="19" spans="1:3" ht="18" customHeight="1" x14ac:dyDescent="0.25">
      <c r="A19" s="21" t="s">
        <v>844</v>
      </c>
      <c r="B19" s="28">
        <f>SUMIF('All Cards'!$D$2:$D$190,"manual",'All Cards'!$C$2:$C$190)</f>
        <v>1170</v>
      </c>
    </row>
    <row r="21" spans="1:3" ht="21.95" customHeight="1" x14ac:dyDescent="0.25">
      <c r="A21" s="74" t="s">
        <v>845</v>
      </c>
      <c r="B21" s="69"/>
      <c r="C21" s="69"/>
    </row>
    <row r="22" spans="1:3" ht="15" customHeight="1" x14ac:dyDescent="0.25">
      <c r="A22" s="37"/>
      <c r="B22" s="38" t="s">
        <v>846</v>
      </c>
      <c r="C22" s="39" t="s">
        <v>847</v>
      </c>
    </row>
    <row r="23" spans="1:3" ht="15.95" customHeight="1" x14ac:dyDescent="0.25">
      <c r="A23" s="11" t="s">
        <v>848</v>
      </c>
      <c r="B23" s="10">
        <f>COUNTIFS('All Cards'!$C$2:$C$190,"&gt;=0",'All Cards'!$C$2:$C$190,"&lt;5")</f>
        <v>21</v>
      </c>
      <c r="C23" s="40">
        <f>SUMIFS('All Cards'!$C$2:$C$190,'All Cards'!$C$2:$C$190,"&gt;=0",'All Cards'!$C$2:$C$190,"&lt;5")</f>
        <v>64.289999999999992</v>
      </c>
    </row>
    <row r="24" spans="1:3" ht="15.95" customHeight="1" x14ac:dyDescent="0.25">
      <c r="A24" s="5" t="s">
        <v>849</v>
      </c>
      <c r="B24" s="4">
        <f>COUNTIFS('All Cards'!$C$2:$C$190,"&gt;=5",'All Cards'!$C$2:$C$190,"&lt;25")</f>
        <v>109</v>
      </c>
      <c r="C24" s="41">
        <f>SUMIFS('All Cards'!$C$2:$C$190,'All Cards'!$C$2:$C$190,"&gt;=5",'All Cards'!$C$2:$C$190,"&lt;25")</f>
        <v>1463.1999999999996</v>
      </c>
    </row>
    <row r="25" spans="1:3" ht="15.95" customHeight="1" x14ac:dyDescent="0.25">
      <c r="A25" s="11" t="s">
        <v>850</v>
      </c>
      <c r="B25" s="10">
        <f>COUNTIFS('All Cards'!$C$2:$C$190,"&gt;=25",'All Cards'!$C$2:$C$190,"&lt;100")</f>
        <v>39</v>
      </c>
      <c r="C25" s="40">
        <f>SUMIFS('All Cards'!$C$2:$C$190,'All Cards'!$C$2:$C$190,"&gt;=25",'All Cards'!$C$2:$C$190,"&lt;100")</f>
        <v>1887.1400000000003</v>
      </c>
    </row>
    <row r="26" spans="1:3" ht="15.95" customHeight="1" x14ac:dyDescent="0.25">
      <c r="A26" s="5" t="s">
        <v>851</v>
      </c>
      <c r="B26" s="4">
        <f>COUNTIFS('All Cards'!$C$2:$C$190,"&gt;=100",'All Cards'!$C$2:$C$190,"&lt;500")</f>
        <v>19</v>
      </c>
      <c r="C26" s="41">
        <f>SUMIFS('All Cards'!$C$2:$C$190,'All Cards'!$C$2:$C$190,"&gt;=100",'All Cards'!$C$2:$C$190,"&lt;500")</f>
        <v>4071.78</v>
      </c>
    </row>
    <row r="27" spans="1:3" ht="15.95" customHeight="1" x14ac:dyDescent="0.25">
      <c r="A27" s="11" t="s">
        <v>852</v>
      </c>
      <c r="B27" s="10">
        <f>COUNTIFS('All Cards'!$C$2:$C$190,"&gt;=500",'All Cards'!$C$2:$C$190,"&lt;9999999")</f>
        <v>1</v>
      </c>
      <c r="C27" s="40">
        <f>SUMIFS('All Cards'!$C$2:$C$190,'All Cards'!$C$2:$C$190,"&gt;=500",'All Cards'!$C$2:$C$190,"&lt;9999999")</f>
        <v>605</v>
      </c>
    </row>
    <row r="29" spans="1:3" ht="21.95" customHeight="1" x14ac:dyDescent="0.25">
      <c r="A29" s="78" t="s">
        <v>853</v>
      </c>
      <c r="B29" s="69"/>
      <c r="C29" s="69"/>
    </row>
    <row r="30" spans="1:3" ht="15.95" customHeight="1" x14ac:dyDescent="0.25">
      <c r="A30" s="38" t="s">
        <v>1</v>
      </c>
      <c r="B30" s="38" t="s">
        <v>854</v>
      </c>
      <c r="C30" s="38" t="s">
        <v>3</v>
      </c>
    </row>
    <row r="31" spans="1:3" ht="15.95" customHeight="1" x14ac:dyDescent="0.25">
      <c r="A31" s="42" t="s">
        <v>714</v>
      </c>
      <c r="B31" s="43">
        <f>'All Cards'!C162</f>
        <v>5.64</v>
      </c>
      <c r="C31" s="7" t="s">
        <v>855</v>
      </c>
    </row>
    <row r="32" spans="1:3" ht="15.95" customHeight="1" x14ac:dyDescent="0.25">
      <c r="A32" s="42" t="s">
        <v>611</v>
      </c>
      <c r="B32" s="43">
        <f>'All Cards'!C135</f>
        <v>10</v>
      </c>
      <c r="C32" s="7" t="s">
        <v>855</v>
      </c>
    </row>
    <row r="33" spans="1:3" ht="15.95" customHeight="1" x14ac:dyDescent="0.25">
      <c r="A33" s="44" t="s">
        <v>811</v>
      </c>
      <c r="B33" s="45">
        <f>'All Cards'!C186</f>
        <v>2.11</v>
      </c>
      <c r="C33" s="13" t="s">
        <v>856</v>
      </c>
    </row>
    <row r="34" spans="1:3" ht="15.95" customHeight="1" x14ac:dyDescent="0.25">
      <c r="A34" s="44" t="s">
        <v>723</v>
      </c>
      <c r="B34" s="45">
        <f>'All Cards'!C164</f>
        <v>5.34</v>
      </c>
      <c r="C34" s="13" t="s">
        <v>856</v>
      </c>
    </row>
    <row r="35" spans="1:3" ht="15.95" customHeight="1" x14ac:dyDescent="0.25">
      <c r="A35" s="46" t="s">
        <v>644</v>
      </c>
      <c r="B35" s="47">
        <f>'All Cards'!C143</f>
        <v>8.0399999999999991</v>
      </c>
      <c r="C35" s="18" t="s">
        <v>857</v>
      </c>
    </row>
    <row r="36" spans="1:3" ht="15.95" customHeight="1" x14ac:dyDescent="0.25">
      <c r="A36" s="48" t="s">
        <v>550</v>
      </c>
      <c r="B36" s="49">
        <f>'All Cards'!C119</f>
        <v>13.19</v>
      </c>
      <c r="C36" s="17" t="s">
        <v>858</v>
      </c>
    </row>
    <row r="37" spans="1:3" ht="15.95" customHeight="1" x14ac:dyDescent="0.25">
      <c r="A37" s="44" t="s">
        <v>174</v>
      </c>
      <c r="B37" s="45">
        <f>'All Cards'!C32</f>
        <v>59.49</v>
      </c>
      <c r="C37" s="13" t="s">
        <v>856</v>
      </c>
    </row>
    <row r="38" spans="1:3" ht="15.95" customHeight="1" x14ac:dyDescent="0.25">
      <c r="A38" s="42" t="s">
        <v>516</v>
      </c>
      <c r="B38" s="43">
        <f>'All Cards'!C110</f>
        <v>14.61</v>
      </c>
      <c r="C38" s="7" t="s">
        <v>855</v>
      </c>
    </row>
    <row r="39" spans="1:3" ht="15.95" customHeight="1" x14ac:dyDescent="0.25">
      <c r="A39" s="42" t="s">
        <v>615</v>
      </c>
      <c r="B39" s="43">
        <f>'All Cards'!C136</f>
        <v>10</v>
      </c>
      <c r="C39" s="7" t="s">
        <v>855</v>
      </c>
    </row>
    <row r="40" spans="1:3" ht="15.95" customHeight="1" x14ac:dyDescent="0.25">
      <c r="A40" s="48" t="s">
        <v>626</v>
      </c>
      <c r="B40" s="49">
        <f>'All Cards'!C138</f>
        <v>9.64</v>
      </c>
      <c r="C40" s="17" t="s">
        <v>858</v>
      </c>
    </row>
    <row r="42" spans="1:3" ht="21.95" customHeight="1" x14ac:dyDescent="0.25">
      <c r="A42" s="68" t="s">
        <v>859</v>
      </c>
      <c r="B42" s="69"/>
      <c r="C42" s="69"/>
    </row>
    <row r="43" spans="1:3" ht="15" customHeight="1" x14ac:dyDescent="0.25">
      <c r="A43" s="50" t="s">
        <v>856</v>
      </c>
      <c r="B43" s="79" t="s">
        <v>860</v>
      </c>
      <c r="C43" s="69"/>
    </row>
    <row r="44" spans="1:3" ht="15" customHeight="1" x14ac:dyDescent="0.25">
      <c r="A44" s="51" t="s">
        <v>861</v>
      </c>
      <c r="B44" s="70" t="s">
        <v>862</v>
      </c>
      <c r="C44" s="69"/>
    </row>
    <row r="45" spans="1:3" ht="15" customHeight="1" x14ac:dyDescent="0.25">
      <c r="A45" s="52" t="s">
        <v>855</v>
      </c>
      <c r="B45" s="75" t="s">
        <v>863</v>
      </c>
      <c r="C45" s="69"/>
    </row>
    <row r="46" spans="1:3" ht="15" customHeight="1" x14ac:dyDescent="0.25">
      <c r="A46" s="53" t="s">
        <v>857</v>
      </c>
      <c r="B46" s="76" t="s">
        <v>864</v>
      </c>
      <c r="C46" s="69"/>
    </row>
    <row r="47" spans="1:3" ht="15" customHeight="1" x14ac:dyDescent="0.25">
      <c r="A47" s="54" t="s">
        <v>858</v>
      </c>
      <c r="B47" s="71" t="s">
        <v>865</v>
      </c>
      <c r="C47" s="69"/>
    </row>
    <row r="48" spans="1:3" ht="15" customHeight="1" x14ac:dyDescent="0.25">
      <c r="A48" s="55" t="s">
        <v>866</v>
      </c>
      <c r="B48" s="72" t="s">
        <v>867</v>
      </c>
      <c r="C48" s="69"/>
    </row>
  </sheetData>
  <mergeCells count="13">
    <mergeCell ref="A42:C42"/>
    <mergeCell ref="B44:C44"/>
    <mergeCell ref="B47:C47"/>
    <mergeCell ref="B48:C48"/>
    <mergeCell ref="A1:C1"/>
    <mergeCell ref="A14:C14"/>
    <mergeCell ref="B45:C45"/>
    <mergeCell ref="B46:C46"/>
    <mergeCell ref="A9:C9"/>
    <mergeCell ref="A3:C3"/>
    <mergeCell ref="A21:C21"/>
    <mergeCell ref="A29:C29"/>
    <mergeCell ref="B43:C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2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10" customWidth="1"/>
    <col min="3" max="3" width="18" customWidth="1"/>
  </cols>
  <sheetData>
    <row r="1" spans="1:3" ht="30" customHeight="1" x14ac:dyDescent="0.25">
      <c r="A1" s="80" t="s">
        <v>868</v>
      </c>
      <c r="B1" s="69"/>
      <c r="C1" s="69"/>
    </row>
    <row r="2" spans="1:3" ht="14.1" customHeight="1" x14ac:dyDescent="0.25">
      <c r="A2" s="81" t="s">
        <v>869</v>
      </c>
      <c r="B2" s="69"/>
      <c r="C2" s="69"/>
    </row>
    <row r="3" spans="1:3" ht="18" customHeight="1" x14ac:dyDescent="0.25">
      <c r="A3" s="56" t="s">
        <v>9</v>
      </c>
      <c r="B3" s="56" t="s">
        <v>846</v>
      </c>
      <c r="C3" s="56" t="s">
        <v>847</v>
      </c>
    </row>
    <row r="4" spans="1:3" x14ac:dyDescent="0.25">
      <c r="A4" s="5" t="s">
        <v>110</v>
      </c>
      <c r="B4" s="4">
        <f>COUNTIF('All Cards'!$J$2:$J$190,A4)</f>
        <v>10</v>
      </c>
      <c r="C4" s="41">
        <f>SUMIF('All Cards'!$J$2:$J$190,A4,'All Cards'!$C$2:$C$190)</f>
        <v>1763.8700000000001</v>
      </c>
    </row>
    <row r="5" spans="1:3" x14ac:dyDescent="0.25">
      <c r="A5" s="11" t="s">
        <v>229</v>
      </c>
      <c r="B5" s="10">
        <f>COUNTIF('All Cards'!$J$2:$J$190,A5)</f>
        <v>8</v>
      </c>
      <c r="C5" s="40">
        <f>SUMIF('All Cards'!$J$2:$J$190,A5,'All Cards'!$C$2:$C$190)</f>
        <v>1645.4099999999999</v>
      </c>
    </row>
    <row r="6" spans="1:3" x14ac:dyDescent="0.25">
      <c r="A6" s="5" t="s">
        <v>189</v>
      </c>
      <c r="B6" s="4">
        <f>COUNTIF('All Cards'!$J$2:$J$190,A6)</f>
        <v>5</v>
      </c>
      <c r="C6" s="41">
        <f>SUMIF('All Cards'!$J$2:$J$190,A6,'All Cards'!$C$2:$C$190)</f>
        <v>234.48000000000002</v>
      </c>
    </row>
    <row r="7" spans="1:3" x14ac:dyDescent="0.25">
      <c r="A7" s="11" t="s">
        <v>553</v>
      </c>
      <c r="B7" s="10">
        <f>COUNTIF('All Cards'!$J$2:$J$190,A7)</f>
        <v>3</v>
      </c>
      <c r="C7" s="40">
        <f>SUMIF('All Cards'!$J$2:$J$190,A7,'All Cards'!$C$2:$C$190)</f>
        <v>267.41000000000003</v>
      </c>
    </row>
    <row r="8" spans="1:3" x14ac:dyDescent="0.25">
      <c r="A8" s="5" t="s">
        <v>344</v>
      </c>
      <c r="B8" s="4">
        <f>COUNTIF('All Cards'!$J$2:$J$190,A8)</f>
        <v>4</v>
      </c>
      <c r="C8" s="41">
        <f>SUMIF('All Cards'!$J$2:$J$190,A8,'All Cards'!$C$2:$C$190)</f>
        <v>263.47000000000003</v>
      </c>
    </row>
    <row r="9" spans="1:3" x14ac:dyDescent="0.25">
      <c r="A9" s="11" t="s">
        <v>515</v>
      </c>
      <c r="B9" s="10">
        <f>COUNTIF('All Cards'!$J$2:$J$190,A9)</f>
        <v>2</v>
      </c>
      <c r="C9" s="40">
        <f>SUMIF('All Cards'!$J$2:$J$190,A9,'All Cards'!$C$2:$C$190)</f>
        <v>248.26</v>
      </c>
    </row>
    <row r="10" spans="1:3" x14ac:dyDescent="0.25">
      <c r="A10" s="5" t="s">
        <v>295</v>
      </c>
      <c r="B10" s="4">
        <f>COUNTIF('All Cards'!$J$2:$J$190,A10)</f>
        <v>2</v>
      </c>
      <c r="C10" s="41">
        <f>SUMIF('All Cards'!$J$2:$J$190,A10,'All Cards'!$C$2:$C$190)</f>
        <v>210.14</v>
      </c>
    </row>
    <row r="11" spans="1:3" x14ac:dyDescent="0.25">
      <c r="A11" s="11" t="s">
        <v>619</v>
      </c>
      <c r="B11" s="10">
        <f>COUNTIF('All Cards'!$J$2:$J$190,A11)</f>
        <v>1</v>
      </c>
      <c r="C11" s="40">
        <f>SUMIF('All Cards'!$J$2:$J$190,A11,'All Cards'!$C$2:$C$190)</f>
        <v>150</v>
      </c>
    </row>
    <row r="12" spans="1:3" x14ac:dyDescent="0.25">
      <c r="A12" s="5" t="s">
        <v>746</v>
      </c>
      <c r="B12" s="4">
        <f>COUNTIF('All Cards'!$J$2:$J$190,A12)</f>
        <v>2</v>
      </c>
      <c r="C12" s="41">
        <f>SUMIF('All Cards'!$J$2:$J$190,A12,'All Cards'!$C$2:$C$190)</f>
        <v>208.06</v>
      </c>
    </row>
    <row r="13" spans="1:3" x14ac:dyDescent="0.25">
      <c r="A13" s="11" t="s">
        <v>823</v>
      </c>
      <c r="B13" s="10">
        <f>COUNTIF('All Cards'!$J$2:$J$190,A13)</f>
        <v>1</v>
      </c>
      <c r="C13" s="40">
        <f>SUMIF('All Cards'!$J$2:$J$190,A13,'All Cards'!$C$2:$C$190)</f>
        <v>196.18</v>
      </c>
    </row>
    <row r="14" spans="1:3" x14ac:dyDescent="0.25">
      <c r="A14" s="5" t="s">
        <v>541</v>
      </c>
      <c r="B14" s="4">
        <f>COUNTIF('All Cards'!$J$2:$J$190,A14)</f>
        <v>2</v>
      </c>
      <c r="C14" s="41">
        <f>SUMIF('All Cards'!$J$2:$J$190,A14,'All Cards'!$C$2:$C$190)</f>
        <v>144.89000000000001</v>
      </c>
    </row>
    <row r="15" spans="1:3" x14ac:dyDescent="0.25">
      <c r="A15" s="11" t="s">
        <v>15</v>
      </c>
      <c r="B15" s="10">
        <f>COUNTIF('All Cards'!$J$2:$J$190,A15)</f>
        <v>1</v>
      </c>
      <c r="C15" s="40">
        <f>SUMIF('All Cards'!$J$2:$J$190,A15,'All Cards'!$C$2:$C$190)</f>
        <v>9</v>
      </c>
    </row>
    <row r="16" spans="1:3" x14ac:dyDescent="0.25">
      <c r="A16" s="5" t="s">
        <v>625</v>
      </c>
      <c r="B16" s="4">
        <f>COUNTIF('All Cards'!$J$2:$J$190,A16)</f>
        <v>1</v>
      </c>
      <c r="C16" s="41">
        <f>SUMIF('All Cards'!$J$2:$J$190,A16,'All Cards'!$C$2:$C$190)</f>
        <v>30</v>
      </c>
    </row>
    <row r="17" spans="1:3" x14ac:dyDescent="0.25">
      <c r="A17" s="11" t="s">
        <v>172</v>
      </c>
      <c r="B17" s="10">
        <f>COUNTIF('All Cards'!$J$2:$J$190,A17)</f>
        <v>3</v>
      </c>
      <c r="C17" s="40">
        <f>SUMIF('All Cards'!$J$2:$J$190,A17,'All Cards'!$C$2:$C$190)</f>
        <v>125.3</v>
      </c>
    </row>
    <row r="18" spans="1:3" x14ac:dyDescent="0.25">
      <c r="A18" s="5" t="s">
        <v>183</v>
      </c>
      <c r="B18" s="4">
        <f>COUNTIF('All Cards'!$J$2:$J$190,A18)</f>
        <v>5</v>
      </c>
      <c r="C18" s="41">
        <f>SUMIF('All Cards'!$J$2:$J$190,A18,'All Cards'!$C$2:$C$190)</f>
        <v>111.77</v>
      </c>
    </row>
    <row r="19" spans="1:3" x14ac:dyDescent="0.25">
      <c r="A19" s="11" t="s">
        <v>400</v>
      </c>
      <c r="B19" s="10">
        <f>COUNTIF('All Cards'!$J$2:$J$190,A19)</f>
        <v>4</v>
      </c>
      <c r="C19" s="40">
        <f>SUMIF('All Cards'!$J$2:$J$190,A19,'All Cards'!$C$2:$C$190)</f>
        <v>105.62</v>
      </c>
    </row>
    <row r="20" spans="1:3" x14ac:dyDescent="0.25">
      <c r="A20" s="5" t="s">
        <v>779</v>
      </c>
      <c r="B20" s="4">
        <f>COUNTIF('All Cards'!$J$2:$J$190,A20)</f>
        <v>1</v>
      </c>
      <c r="C20" s="41">
        <f>SUMIF('All Cards'!$J$2:$J$190,A20,'All Cards'!$C$2:$C$190)</f>
        <v>99</v>
      </c>
    </row>
    <row r="21" spans="1:3" x14ac:dyDescent="0.25">
      <c r="A21" s="11" t="s">
        <v>75</v>
      </c>
      <c r="B21" s="10">
        <f>COUNTIF('All Cards'!$J$2:$J$190,A21)</f>
        <v>1</v>
      </c>
      <c r="C21" s="40">
        <f>SUMIF('All Cards'!$J$2:$J$190,A21,'All Cards'!$C$2:$C$190)</f>
        <v>3</v>
      </c>
    </row>
    <row r="22" spans="1:3" x14ac:dyDescent="0.25">
      <c r="A22" s="5" t="s">
        <v>375</v>
      </c>
      <c r="B22" s="4">
        <f>COUNTIF('All Cards'!$J$2:$J$190,A22)</f>
        <v>1</v>
      </c>
      <c r="C22" s="41">
        <f>SUMIF('All Cards'!$J$2:$J$190,A22,'All Cards'!$C$2:$C$190)</f>
        <v>93.97</v>
      </c>
    </row>
    <row r="23" spans="1:3" x14ac:dyDescent="0.25">
      <c r="A23" s="11" t="s">
        <v>652</v>
      </c>
      <c r="B23" s="10">
        <f>COUNTIF('All Cards'!$J$2:$J$190,A23)</f>
        <v>2</v>
      </c>
      <c r="C23" s="40">
        <f>SUMIF('All Cards'!$J$2:$J$190,A23,'All Cards'!$C$2:$C$190)</f>
        <v>74.599999999999994</v>
      </c>
    </row>
    <row r="24" spans="1:3" x14ac:dyDescent="0.25">
      <c r="A24" s="5" t="s">
        <v>605</v>
      </c>
      <c r="B24" s="4">
        <f>COUNTIF('All Cards'!$J$2:$J$190,A24)</f>
        <v>1</v>
      </c>
      <c r="C24" s="41">
        <f>SUMIF('All Cards'!$J$2:$J$190,A24,'All Cards'!$C$2:$C$190)</f>
        <v>71.349999999999994</v>
      </c>
    </row>
    <row r="25" spans="1:3" x14ac:dyDescent="0.25">
      <c r="A25" s="11" t="s">
        <v>149</v>
      </c>
      <c r="B25" s="10">
        <f>COUNTIF('All Cards'!$J$2:$J$190,A25)</f>
        <v>3</v>
      </c>
      <c r="C25" s="40">
        <f>SUMIF('All Cards'!$J$2:$J$190,A25,'All Cards'!$C$2:$C$190)</f>
        <v>69</v>
      </c>
    </row>
    <row r="26" spans="1:3" x14ac:dyDescent="0.25">
      <c r="A26" s="5" t="s">
        <v>432</v>
      </c>
      <c r="B26" s="4">
        <f>COUNTIF('All Cards'!$J$2:$J$190,A26)</f>
        <v>2</v>
      </c>
      <c r="C26" s="41">
        <f>SUMIF('All Cards'!$J$2:$J$190,A26,'All Cards'!$C$2:$C$190)</f>
        <v>65.990000000000009</v>
      </c>
    </row>
    <row r="27" spans="1:3" x14ac:dyDescent="0.25">
      <c r="A27" s="11" t="s">
        <v>143</v>
      </c>
      <c r="B27" s="10">
        <f>COUNTIF('All Cards'!$J$2:$J$190,A27)</f>
        <v>3</v>
      </c>
      <c r="C27" s="40">
        <f>SUMIF('All Cards'!$J$2:$J$190,A27,'All Cards'!$C$2:$C$190)</f>
        <v>64.59</v>
      </c>
    </row>
    <row r="28" spans="1:3" x14ac:dyDescent="0.25">
      <c r="A28" s="5" t="s">
        <v>251</v>
      </c>
      <c r="B28" s="4">
        <f>COUNTIF('All Cards'!$J$2:$J$190,A28)</f>
        <v>2</v>
      </c>
      <c r="C28" s="41">
        <f>SUMIF('All Cards'!$J$2:$J$190,A28,'All Cards'!$C$2:$C$190)</f>
        <v>64.03</v>
      </c>
    </row>
    <row r="29" spans="1:3" x14ac:dyDescent="0.25">
      <c r="A29" s="11" t="s">
        <v>786</v>
      </c>
      <c r="B29" s="10">
        <f>COUNTIF('All Cards'!$J$2:$J$190,A29)</f>
        <v>1</v>
      </c>
      <c r="C29" s="40">
        <f>SUMIF('All Cards'!$J$2:$J$190,A29,'All Cards'!$C$2:$C$190)</f>
        <v>58</v>
      </c>
    </row>
    <row r="30" spans="1:3" x14ac:dyDescent="0.25">
      <c r="A30" s="5" t="s">
        <v>729</v>
      </c>
      <c r="B30" s="4">
        <f>COUNTIF('All Cards'!$J$2:$J$190,A30)</f>
        <v>1</v>
      </c>
      <c r="C30" s="41">
        <f>SUMIF('All Cards'!$J$2:$J$190,A30,'All Cards'!$C$2:$C$190)</f>
        <v>57</v>
      </c>
    </row>
    <row r="31" spans="1:3" x14ac:dyDescent="0.25">
      <c r="A31" s="11" t="s">
        <v>671</v>
      </c>
      <c r="B31" s="10">
        <f>COUNTIF('All Cards'!$J$2:$J$190,A31)</f>
        <v>2</v>
      </c>
      <c r="C31" s="40">
        <f>SUMIF('All Cards'!$J$2:$J$190,A31,'All Cards'!$C$2:$C$190)</f>
        <v>50.79</v>
      </c>
    </row>
    <row r="32" spans="1:3" x14ac:dyDescent="0.25">
      <c r="A32" s="5" t="s">
        <v>377</v>
      </c>
      <c r="B32" s="4">
        <f>COUNTIF('All Cards'!$J$2:$J$190,A32)</f>
        <v>1</v>
      </c>
      <c r="C32" s="41">
        <f>SUMIF('All Cards'!$J$2:$J$190,A32,'All Cards'!$C$2:$C$190)</f>
        <v>50</v>
      </c>
    </row>
    <row r="33" spans="1:3" x14ac:dyDescent="0.25">
      <c r="A33" s="11" t="s">
        <v>810</v>
      </c>
      <c r="B33" s="10">
        <f>COUNTIF('All Cards'!$J$2:$J$190,A33)</f>
        <v>1</v>
      </c>
      <c r="C33" s="40">
        <f>SUMIF('All Cards'!$J$2:$J$190,A33,'All Cards'!$C$2:$C$190)</f>
        <v>50</v>
      </c>
    </row>
    <row r="34" spans="1:3" x14ac:dyDescent="0.25">
      <c r="A34" s="5" t="s">
        <v>817</v>
      </c>
      <c r="B34" s="4">
        <f>COUNTIF('All Cards'!$J$2:$J$190,A34)</f>
        <v>1</v>
      </c>
      <c r="C34" s="41">
        <f>SUMIF('All Cards'!$J$2:$J$190,A34,'All Cards'!$C$2:$C$190)</f>
        <v>50</v>
      </c>
    </row>
    <row r="35" spans="1:3" x14ac:dyDescent="0.25">
      <c r="A35" s="11" t="s">
        <v>459</v>
      </c>
      <c r="B35" s="10">
        <f>COUNTIF('All Cards'!$J$2:$J$190,A35)</f>
        <v>3</v>
      </c>
      <c r="C35" s="40">
        <f>SUMIF('All Cards'!$J$2:$J$190,A35,'All Cards'!$C$2:$C$190)</f>
        <v>46.56</v>
      </c>
    </row>
    <row r="36" spans="1:3" x14ac:dyDescent="0.25">
      <c r="A36" s="5" t="s">
        <v>261</v>
      </c>
      <c r="B36" s="4">
        <f>COUNTIF('All Cards'!$J$2:$J$190,A36)</f>
        <v>3</v>
      </c>
      <c r="C36" s="41">
        <f>SUMIF('All Cards'!$J$2:$J$190,A36,'All Cards'!$C$2:$C$190)</f>
        <v>45</v>
      </c>
    </row>
    <row r="37" spans="1:3" x14ac:dyDescent="0.25">
      <c r="A37" s="11" t="s">
        <v>445</v>
      </c>
      <c r="B37" s="10">
        <f>COUNTIF('All Cards'!$J$2:$J$190,A37)</f>
        <v>1</v>
      </c>
      <c r="C37" s="40">
        <f>SUMIF('All Cards'!$J$2:$J$190,A37,'All Cards'!$C$2:$C$190)</f>
        <v>39.85</v>
      </c>
    </row>
    <row r="38" spans="1:3" x14ac:dyDescent="0.25">
      <c r="A38" s="5" t="s">
        <v>413</v>
      </c>
      <c r="B38" s="4">
        <f>COUNTIF('All Cards'!$J$2:$J$190,A38)</f>
        <v>1</v>
      </c>
      <c r="C38" s="41">
        <f>SUMIF('All Cards'!$J$2:$J$190,A38,'All Cards'!$C$2:$C$190)</f>
        <v>39.47</v>
      </c>
    </row>
    <row r="39" spans="1:3" x14ac:dyDescent="0.25">
      <c r="A39" s="11" t="s">
        <v>702</v>
      </c>
      <c r="B39" s="10">
        <f>COUNTIF('All Cards'!$J$2:$J$190,A39)</f>
        <v>1</v>
      </c>
      <c r="C39" s="40">
        <f>SUMIF('All Cards'!$J$2:$J$190,A39,'All Cards'!$C$2:$C$190)</f>
        <v>39.03</v>
      </c>
    </row>
    <row r="40" spans="1:3" x14ac:dyDescent="0.25">
      <c r="A40" s="5" t="s">
        <v>474</v>
      </c>
      <c r="B40" s="4">
        <f>COUNTIF('All Cards'!$J$2:$J$190,A40)</f>
        <v>1</v>
      </c>
      <c r="C40" s="41">
        <f>SUMIF('All Cards'!$J$2:$J$190,A40,'All Cards'!$C$2:$C$190)</f>
        <v>37.28</v>
      </c>
    </row>
    <row r="41" spans="1:3" x14ac:dyDescent="0.25">
      <c r="A41" s="11" t="s">
        <v>83</v>
      </c>
      <c r="B41" s="10">
        <f>COUNTIF('All Cards'!$J$2:$J$190,A41)</f>
        <v>2</v>
      </c>
      <c r="C41" s="40">
        <f>SUMIF('All Cards'!$J$2:$J$190,A41,'All Cards'!$C$2:$C$190)</f>
        <v>36.479999999999997</v>
      </c>
    </row>
    <row r="42" spans="1:3" x14ac:dyDescent="0.25">
      <c r="A42" s="5" t="s">
        <v>464</v>
      </c>
      <c r="B42" s="4">
        <f>COUNTIF('All Cards'!$J$2:$J$190,A42)</f>
        <v>2</v>
      </c>
      <c r="C42" s="41">
        <f>SUMIF('All Cards'!$J$2:$J$190,A42,'All Cards'!$C$2:$C$190)</f>
        <v>35.909999999999997</v>
      </c>
    </row>
    <row r="43" spans="1:3" x14ac:dyDescent="0.25">
      <c r="A43" s="11" t="s">
        <v>631</v>
      </c>
      <c r="B43" s="10">
        <f>COUNTIF('All Cards'!$J$2:$J$190,A43)</f>
        <v>1</v>
      </c>
      <c r="C43" s="40">
        <f>SUMIF('All Cards'!$J$2:$J$190,A43,'All Cards'!$C$2:$C$190)</f>
        <v>35.299999999999997</v>
      </c>
    </row>
    <row r="44" spans="1:3" x14ac:dyDescent="0.25">
      <c r="A44" s="5" t="s">
        <v>469</v>
      </c>
      <c r="B44" s="4">
        <f>COUNTIF('All Cards'!$J$2:$J$190,A44)</f>
        <v>1</v>
      </c>
      <c r="C44" s="41">
        <f>SUMIF('All Cards'!$J$2:$J$190,A44,'All Cards'!$C$2:$C$190)</f>
        <v>30.49</v>
      </c>
    </row>
    <row r="45" spans="1:3" x14ac:dyDescent="0.25">
      <c r="A45" s="11" t="s">
        <v>633</v>
      </c>
      <c r="B45" s="10">
        <f>COUNTIF('All Cards'!$J$2:$J$190,A45)</f>
        <v>1</v>
      </c>
      <c r="C45" s="40">
        <f>SUMIF('All Cards'!$J$2:$J$190,A45,'All Cards'!$C$2:$C$190)</f>
        <v>30</v>
      </c>
    </row>
    <row r="46" spans="1:3" x14ac:dyDescent="0.25">
      <c r="A46" s="5" t="s">
        <v>97</v>
      </c>
      <c r="B46" s="4">
        <f>COUNTIF('All Cards'!$J$2:$J$190,A46)</f>
        <v>2</v>
      </c>
      <c r="C46" s="41">
        <f>SUMIF('All Cards'!$J$2:$J$190,A46,'All Cards'!$C$2:$C$190)</f>
        <v>11.15</v>
      </c>
    </row>
    <row r="47" spans="1:3" x14ac:dyDescent="0.25">
      <c r="A47" s="11" t="s">
        <v>757</v>
      </c>
      <c r="B47" s="10">
        <f>COUNTIF('All Cards'!$J$2:$J$190,A47)</f>
        <v>1</v>
      </c>
      <c r="C47" s="40">
        <f>SUMIF('All Cards'!$J$2:$J$190,A47,'All Cards'!$C$2:$C$190)</f>
        <v>28.98</v>
      </c>
    </row>
    <row r="48" spans="1:3" x14ac:dyDescent="0.25">
      <c r="A48" s="5" t="s">
        <v>354</v>
      </c>
      <c r="B48" s="4">
        <f>COUNTIF('All Cards'!$J$2:$J$190,A48)</f>
        <v>1</v>
      </c>
      <c r="C48" s="41">
        <f>SUMIF('All Cards'!$J$2:$J$190,A48,'All Cards'!$C$2:$C$190)</f>
        <v>27.99</v>
      </c>
    </row>
    <row r="49" spans="1:3" x14ac:dyDescent="0.25">
      <c r="A49" s="11" t="s">
        <v>507</v>
      </c>
      <c r="B49" s="10">
        <f>COUNTIF('All Cards'!$J$2:$J$190,A49)</f>
        <v>1</v>
      </c>
      <c r="C49" s="40">
        <f>SUMIF('All Cards'!$J$2:$J$190,A49,'All Cards'!$C$2:$C$190)</f>
        <v>25</v>
      </c>
    </row>
    <row r="50" spans="1:3" x14ac:dyDescent="0.25">
      <c r="A50" s="5" t="s">
        <v>479</v>
      </c>
      <c r="B50" s="4">
        <f>COUNTIF('All Cards'!$J$2:$J$190,A50)</f>
        <v>1</v>
      </c>
      <c r="C50" s="41">
        <f>SUMIF('All Cards'!$J$2:$J$190,A50,'All Cards'!$C$2:$C$190)</f>
        <v>24.48</v>
      </c>
    </row>
    <row r="51" spans="1:3" x14ac:dyDescent="0.25">
      <c r="A51" s="11" t="s">
        <v>595</v>
      </c>
      <c r="B51" s="10">
        <f>COUNTIF('All Cards'!$J$2:$J$190,A51)</f>
        <v>1</v>
      </c>
      <c r="C51" s="40">
        <f>SUMIF('All Cards'!$J$2:$J$190,A51,'All Cards'!$C$2:$C$190)</f>
        <v>24.21</v>
      </c>
    </row>
    <row r="52" spans="1:3" x14ac:dyDescent="0.25">
      <c r="A52" s="5" t="s">
        <v>234</v>
      </c>
      <c r="B52" s="4">
        <f>COUNTIF('All Cards'!$J$2:$J$190,A52)</f>
        <v>1</v>
      </c>
      <c r="C52" s="41">
        <f>SUMIF('All Cards'!$J$2:$J$190,A52,'All Cards'!$C$2:$C$190)</f>
        <v>23.98</v>
      </c>
    </row>
    <row r="53" spans="1:3" x14ac:dyDescent="0.25">
      <c r="A53" s="11" t="s">
        <v>27</v>
      </c>
      <c r="B53" s="10">
        <f>COUNTIF('All Cards'!$J$2:$J$190,A53)</f>
        <v>1</v>
      </c>
      <c r="C53" s="40">
        <f>SUMIF('All Cards'!$J$2:$J$190,A53,'All Cards'!$C$2:$C$190)</f>
        <v>15</v>
      </c>
    </row>
    <row r="54" spans="1:3" x14ac:dyDescent="0.25">
      <c r="A54" s="5" t="s">
        <v>763</v>
      </c>
      <c r="B54" s="4">
        <f>COUNTIF('All Cards'!$J$2:$J$190,A54)</f>
        <v>1</v>
      </c>
      <c r="C54" s="41">
        <f>SUMIF('All Cards'!$J$2:$J$190,A54,'All Cards'!$C$2:$C$190)</f>
        <v>22.26</v>
      </c>
    </row>
    <row r="55" spans="1:3" x14ac:dyDescent="0.25">
      <c r="A55" s="11" t="s">
        <v>580</v>
      </c>
      <c r="B55" s="10">
        <f>COUNTIF('All Cards'!$J$2:$J$190,A55)</f>
        <v>2</v>
      </c>
      <c r="C55" s="40">
        <f>SUMIF('All Cards'!$J$2:$J$190,A55,'All Cards'!$C$2:$C$190)</f>
        <v>22.200000000000003</v>
      </c>
    </row>
    <row r="56" spans="1:3" x14ac:dyDescent="0.25">
      <c r="A56" s="5" t="s">
        <v>684</v>
      </c>
      <c r="B56" s="4">
        <f>COUNTIF('All Cards'!$J$2:$J$190,A56)</f>
        <v>2</v>
      </c>
      <c r="C56" s="41">
        <f>SUMIF('All Cards'!$J$2:$J$190,A56,'All Cards'!$C$2:$C$190)</f>
        <v>22.01</v>
      </c>
    </row>
    <row r="57" spans="1:3" x14ac:dyDescent="0.25">
      <c r="A57" s="11" t="s">
        <v>208</v>
      </c>
      <c r="B57" s="10">
        <f>COUNTIF('All Cards'!$J$2:$J$190,A57)</f>
        <v>2</v>
      </c>
      <c r="C57" s="40">
        <f>SUMIF('All Cards'!$J$2:$J$190,A57,'All Cards'!$C$2:$C$190)</f>
        <v>21.25</v>
      </c>
    </row>
    <row r="58" spans="1:3" x14ac:dyDescent="0.25">
      <c r="A58" s="5" t="s">
        <v>663</v>
      </c>
      <c r="B58" s="4">
        <f>COUNTIF('All Cards'!$J$2:$J$190,A58)</f>
        <v>2</v>
      </c>
      <c r="C58" s="41">
        <f>SUMIF('All Cards'!$J$2:$J$190,A58,'All Cards'!$C$2:$C$190)</f>
        <v>20.68</v>
      </c>
    </row>
    <row r="59" spans="1:3" x14ac:dyDescent="0.25">
      <c r="A59" s="11" t="s">
        <v>642</v>
      </c>
      <c r="B59" s="10">
        <f>COUNTIF('All Cards'!$J$2:$J$190,A59)</f>
        <v>1</v>
      </c>
      <c r="C59" s="40">
        <f>SUMIF('All Cards'!$J$2:$J$190,A59,'All Cards'!$C$2:$C$190)</f>
        <v>20.2</v>
      </c>
    </row>
    <row r="60" spans="1:3" x14ac:dyDescent="0.25">
      <c r="A60" s="5" t="s">
        <v>505</v>
      </c>
      <c r="B60" s="4">
        <f>COUNTIF('All Cards'!$J$2:$J$190,A60)</f>
        <v>2</v>
      </c>
      <c r="C60" s="41">
        <f>SUMIF('All Cards'!$J$2:$J$190,A60,'All Cards'!$C$2:$C$190)</f>
        <v>19.53</v>
      </c>
    </row>
    <row r="61" spans="1:3" x14ac:dyDescent="0.25">
      <c r="A61" s="11" t="s">
        <v>239</v>
      </c>
      <c r="B61" s="10">
        <f>COUNTIF('All Cards'!$J$2:$J$190,A61)</f>
        <v>1</v>
      </c>
      <c r="C61" s="40">
        <f>SUMIF('All Cards'!$J$2:$J$190,A61,'All Cards'!$C$2:$C$190)</f>
        <v>19.47</v>
      </c>
    </row>
    <row r="62" spans="1:3" x14ac:dyDescent="0.25">
      <c r="A62" s="5" t="s">
        <v>287</v>
      </c>
      <c r="B62" s="4">
        <f>COUNTIF('All Cards'!$J$2:$J$190,A62)</f>
        <v>1</v>
      </c>
      <c r="C62" s="41">
        <f>SUMIF('All Cards'!$J$2:$J$190,A62,'All Cards'!$C$2:$C$190)</f>
        <v>19.47</v>
      </c>
    </row>
    <row r="63" spans="1:3" x14ac:dyDescent="0.25">
      <c r="A63" s="11" t="s">
        <v>740</v>
      </c>
      <c r="B63" s="10">
        <f>COUNTIF('All Cards'!$J$2:$J$190,A63)</f>
        <v>1</v>
      </c>
      <c r="C63" s="40">
        <f>SUMIF('All Cards'!$J$2:$J$190,A63,'All Cards'!$C$2:$C$190)</f>
        <v>19.47</v>
      </c>
    </row>
    <row r="64" spans="1:3" x14ac:dyDescent="0.25">
      <c r="A64" s="5" t="s">
        <v>206</v>
      </c>
      <c r="B64" s="4">
        <f>COUNTIF('All Cards'!$J$2:$J$190,A64)</f>
        <v>1</v>
      </c>
      <c r="C64" s="41">
        <f>SUMIF('All Cards'!$J$2:$J$190,A64,'All Cards'!$C$2:$C$190)</f>
        <v>19.260000000000002</v>
      </c>
    </row>
    <row r="65" spans="1:3" x14ac:dyDescent="0.25">
      <c r="A65" s="11" t="s">
        <v>359</v>
      </c>
      <c r="B65" s="10">
        <f>COUNTIF('All Cards'!$J$2:$J$190,A65)</f>
        <v>1</v>
      </c>
      <c r="C65" s="40">
        <f>SUMIF('All Cards'!$J$2:$J$190,A65,'All Cards'!$C$2:$C$190)</f>
        <v>19.13</v>
      </c>
    </row>
    <row r="66" spans="1:3" x14ac:dyDescent="0.25">
      <c r="A66" s="5" t="s">
        <v>87</v>
      </c>
      <c r="B66" s="4">
        <f>COUNTIF('All Cards'!$J$2:$J$190,A66)</f>
        <v>2</v>
      </c>
      <c r="C66" s="41">
        <f>SUMIF('All Cards'!$J$2:$J$190,A66,'All Cards'!$C$2:$C$190)</f>
        <v>19.009999999999998</v>
      </c>
    </row>
    <row r="67" spans="1:3" x14ac:dyDescent="0.25">
      <c r="A67" s="11" t="s">
        <v>528</v>
      </c>
      <c r="B67" s="10">
        <f>COUNTIF('All Cards'!$J$2:$J$190,A67)</f>
        <v>1</v>
      </c>
      <c r="C67" s="40">
        <f>SUMIF('All Cards'!$J$2:$J$190,A67,'All Cards'!$C$2:$C$190)</f>
        <v>18.98</v>
      </c>
    </row>
    <row r="68" spans="1:3" x14ac:dyDescent="0.25">
      <c r="A68" s="5" t="s">
        <v>349</v>
      </c>
      <c r="B68" s="4">
        <f>COUNTIF('All Cards'!$J$2:$J$190,A68)</f>
        <v>1</v>
      </c>
      <c r="C68" s="41">
        <f>SUMIF('All Cards'!$J$2:$J$190,A68,'All Cards'!$C$2:$C$190)</f>
        <v>17.68</v>
      </c>
    </row>
    <row r="69" spans="1:3" x14ac:dyDescent="0.25">
      <c r="A69" s="11" t="s">
        <v>93</v>
      </c>
      <c r="B69" s="10">
        <f>COUNTIF('All Cards'!$J$2:$J$190,A69)</f>
        <v>1</v>
      </c>
      <c r="C69" s="40">
        <f>SUMIF('All Cards'!$J$2:$J$190,A69,'All Cards'!$C$2:$C$190)</f>
        <v>17.64</v>
      </c>
    </row>
    <row r="70" spans="1:3" x14ac:dyDescent="0.25">
      <c r="A70" s="5" t="s">
        <v>589</v>
      </c>
      <c r="B70" s="4">
        <f>COUNTIF('All Cards'!$J$2:$J$190,A70)</f>
        <v>1</v>
      </c>
      <c r="C70" s="41">
        <f>SUMIF('All Cards'!$J$2:$J$190,A70,'All Cards'!$C$2:$C$190)</f>
        <v>17.079999999999998</v>
      </c>
    </row>
    <row r="71" spans="1:3" x14ac:dyDescent="0.25">
      <c r="A71" s="11" t="s">
        <v>365</v>
      </c>
      <c r="B71" s="10">
        <f>COUNTIF('All Cards'!$J$2:$J$190,A71)</f>
        <v>1</v>
      </c>
      <c r="C71" s="40">
        <f>SUMIF('All Cards'!$J$2:$J$190,A71,'All Cards'!$C$2:$C$190)</f>
        <v>17.03</v>
      </c>
    </row>
    <row r="72" spans="1:3" x14ac:dyDescent="0.25">
      <c r="A72" s="5" t="s">
        <v>421</v>
      </c>
      <c r="B72" s="4">
        <f>COUNTIF('All Cards'!$J$2:$J$190,A72)</f>
        <v>1</v>
      </c>
      <c r="C72" s="41">
        <f>SUMIF('All Cards'!$J$2:$J$190,A72,'All Cards'!$C$2:$C$190)</f>
        <v>17.02</v>
      </c>
    </row>
    <row r="73" spans="1:3" x14ac:dyDescent="0.25">
      <c r="A73" s="11" t="s">
        <v>316</v>
      </c>
      <c r="B73" s="10">
        <f>COUNTIF('All Cards'!$J$2:$J$190,A73)</f>
        <v>1</v>
      </c>
      <c r="C73" s="40">
        <f>SUMIF('All Cards'!$J$2:$J$190,A73,'All Cards'!$C$2:$C$190)</f>
        <v>16.8</v>
      </c>
    </row>
    <row r="74" spans="1:3" x14ac:dyDescent="0.25">
      <c r="A74" s="5" t="s">
        <v>769</v>
      </c>
      <c r="B74" s="4">
        <f>COUNTIF('All Cards'!$J$2:$J$190,A74)</f>
        <v>1</v>
      </c>
      <c r="C74" s="41">
        <f>SUMIF('All Cards'!$J$2:$J$190,A74,'All Cards'!$C$2:$C$190)</f>
        <v>16.78</v>
      </c>
    </row>
    <row r="75" spans="1:3" x14ac:dyDescent="0.25">
      <c r="A75" s="11" t="s">
        <v>423</v>
      </c>
      <c r="B75" s="10">
        <f>COUNTIF('All Cards'!$J$2:$J$190,A75)</f>
        <v>2</v>
      </c>
      <c r="C75" s="40">
        <f>SUMIF('All Cards'!$J$2:$J$190,A75,'All Cards'!$C$2:$C$190)</f>
        <v>16.53</v>
      </c>
    </row>
    <row r="76" spans="1:3" x14ac:dyDescent="0.25">
      <c r="A76" s="5" t="s">
        <v>751</v>
      </c>
      <c r="B76" s="4">
        <f>COUNTIF('All Cards'!$J$2:$J$190,A76)</f>
        <v>1</v>
      </c>
      <c r="C76" s="41">
        <f>SUMIF('All Cards'!$J$2:$J$190,A76,'All Cards'!$C$2:$C$190)</f>
        <v>16.04</v>
      </c>
    </row>
    <row r="77" spans="1:3" x14ac:dyDescent="0.25">
      <c r="A77" s="11" t="s">
        <v>457</v>
      </c>
      <c r="B77" s="10">
        <f>COUNTIF('All Cards'!$J$2:$J$190,A77)</f>
        <v>1</v>
      </c>
      <c r="C77" s="40">
        <f>SUMIF('All Cards'!$J$2:$J$190,A77,'All Cards'!$C$2:$C$190)</f>
        <v>15.98</v>
      </c>
    </row>
    <row r="78" spans="1:3" x14ac:dyDescent="0.25">
      <c r="A78" s="5" t="s">
        <v>522</v>
      </c>
      <c r="B78" s="4">
        <f>COUNTIF('All Cards'!$J$2:$J$190,A78)</f>
        <v>1</v>
      </c>
      <c r="C78" s="41">
        <f>SUMIF('All Cards'!$J$2:$J$190,A78,'All Cards'!$C$2:$C$190)</f>
        <v>15.92</v>
      </c>
    </row>
    <row r="79" spans="1:3" x14ac:dyDescent="0.25">
      <c r="A79" s="11" t="s">
        <v>330</v>
      </c>
      <c r="B79" s="10">
        <f>COUNTIF('All Cards'!$J$2:$J$190,A79)</f>
        <v>1</v>
      </c>
      <c r="C79" s="40">
        <f>SUMIF('All Cards'!$J$2:$J$190,A79,'All Cards'!$C$2:$C$190)</f>
        <v>14.61</v>
      </c>
    </row>
    <row r="80" spans="1:3" x14ac:dyDescent="0.25">
      <c r="A80" s="5" t="s">
        <v>245</v>
      </c>
      <c r="B80" s="4">
        <f>COUNTIF('All Cards'!$J$2:$J$190,A80)</f>
        <v>1</v>
      </c>
      <c r="C80" s="41">
        <f>SUMIF('All Cards'!$J$2:$J$190,A80,'All Cards'!$C$2:$C$190)</f>
        <v>14.6</v>
      </c>
    </row>
    <row r="81" spans="1:3" x14ac:dyDescent="0.25">
      <c r="A81" s="11" t="s">
        <v>324</v>
      </c>
      <c r="B81" s="10">
        <f>COUNTIF('All Cards'!$J$2:$J$190,A81)</f>
        <v>1</v>
      </c>
      <c r="C81" s="40">
        <f>SUMIF('All Cards'!$J$2:$J$190,A81,'All Cards'!$C$2:$C$190)</f>
        <v>14.6</v>
      </c>
    </row>
    <row r="82" spans="1:3" x14ac:dyDescent="0.25">
      <c r="A82" s="5" t="s">
        <v>334</v>
      </c>
      <c r="B82" s="4">
        <f>COUNTIF('All Cards'!$J$2:$J$190,A82)</f>
        <v>1</v>
      </c>
      <c r="C82" s="41">
        <f>SUMIF('All Cards'!$J$2:$J$190,A82,'All Cards'!$C$2:$C$190)</f>
        <v>14.6</v>
      </c>
    </row>
    <row r="83" spans="1:3" x14ac:dyDescent="0.25">
      <c r="A83" s="11" t="s">
        <v>136</v>
      </c>
      <c r="B83" s="10">
        <f>COUNTIF('All Cards'!$J$2:$J$190,A83)</f>
        <v>1</v>
      </c>
      <c r="C83" s="40">
        <f>SUMIF('All Cards'!$J$2:$J$190,A83,'All Cards'!$C$2:$C$190)</f>
        <v>14.21</v>
      </c>
    </row>
    <row r="84" spans="1:3" x14ac:dyDescent="0.25">
      <c r="A84" s="5" t="s">
        <v>306</v>
      </c>
      <c r="B84" s="4">
        <f>COUNTIF('All Cards'!$J$2:$J$190,A84)</f>
        <v>1</v>
      </c>
      <c r="C84" s="41">
        <f>SUMIF('All Cards'!$J$2:$J$190,A84,'All Cards'!$C$2:$C$190)</f>
        <v>13.92</v>
      </c>
    </row>
    <row r="85" spans="1:3" x14ac:dyDescent="0.25">
      <c r="A85" s="11" t="s">
        <v>454</v>
      </c>
      <c r="B85" s="10">
        <f>COUNTIF('All Cards'!$J$2:$J$190,A85)</f>
        <v>1</v>
      </c>
      <c r="C85" s="40">
        <f>SUMIF('All Cards'!$J$2:$J$190,A85,'All Cards'!$C$2:$C$190)</f>
        <v>12.92</v>
      </c>
    </row>
    <row r="86" spans="1:3" x14ac:dyDescent="0.25">
      <c r="A86" s="5" t="s">
        <v>574</v>
      </c>
      <c r="B86" s="4">
        <f>COUNTIF('All Cards'!$J$2:$J$190,A86)</f>
        <v>1</v>
      </c>
      <c r="C86" s="41">
        <f>SUMIF('All Cards'!$J$2:$J$190,A86,'All Cards'!$C$2:$C$190)</f>
        <v>12.8</v>
      </c>
    </row>
    <row r="87" spans="1:3" x14ac:dyDescent="0.25">
      <c r="A87" s="11" t="s">
        <v>321</v>
      </c>
      <c r="B87" s="10">
        <f>COUNTIF('All Cards'!$J$2:$J$190,A87)</f>
        <v>1</v>
      </c>
      <c r="C87" s="40">
        <f>SUMIF('All Cards'!$J$2:$J$190,A87,'All Cards'!$C$2:$C$190)</f>
        <v>12.6</v>
      </c>
    </row>
    <row r="88" spans="1:3" x14ac:dyDescent="0.25">
      <c r="A88" s="5" t="s">
        <v>797</v>
      </c>
      <c r="B88" s="4">
        <f>COUNTIF('All Cards'!$J$2:$J$190,A88)</f>
        <v>1</v>
      </c>
      <c r="C88" s="41">
        <f>SUMIF('All Cards'!$J$2:$J$190,A88,'All Cards'!$C$2:$C$190)</f>
        <v>11.67</v>
      </c>
    </row>
    <row r="89" spans="1:3" x14ac:dyDescent="0.25">
      <c r="A89" s="11" t="s">
        <v>775</v>
      </c>
      <c r="B89" s="10">
        <f>COUNTIF('All Cards'!$J$2:$J$190,A89)</f>
        <v>1</v>
      </c>
      <c r="C89" s="40">
        <f>SUMIF('All Cards'!$J$2:$J$190,A89,'All Cards'!$C$2:$C$190)</f>
        <v>11.46</v>
      </c>
    </row>
    <row r="90" spans="1:3" x14ac:dyDescent="0.25">
      <c r="A90" s="5" t="s">
        <v>55</v>
      </c>
      <c r="B90" s="4">
        <f>COUNTIF('All Cards'!$J$2:$J$190,A90)</f>
        <v>1</v>
      </c>
      <c r="C90" s="41">
        <f>SUMIF('All Cards'!$J$2:$J$190,A90,'All Cards'!$C$2:$C$190)</f>
        <v>10.65</v>
      </c>
    </row>
    <row r="91" spans="1:3" x14ac:dyDescent="0.25">
      <c r="A91" s="11" t="s">
        <v>722</v>
      </c>
      <c r="B91" s="10">
        <f>COUNTIF('All Cards'!$J$2:$J$190,A91)</f>
        <v>1</v>
      </c>
      <c r="C91" s="40">
        <f>SUMIF('All Cards'!$J$2:$J$190,A91,'All Cards'!$C$2:$C$190)</f>
        <v>10.6</v>
      </c>
    </row>
    <row r="92" spans="1:3" x14ac:dyDescent="0.25">
      <c r="A92" s="5" t="s">
        <v>256</v>
      </c>
      <c r="B92" s="4">
        <f>COUNTIF('All Cards'!$J$2:$J$190,A92)</f>
        <v>1</v>
      </c>
      <c r="C92" s="41">
        <f>SUMIF('All Cards'!$J$2:$J$190,A92,'All Cards'!$C$2:$C$190)</f>
        <v>10.57</v>
      </c>
    </row>
    <row r="93" spans="1:3" x14ac:dyDescent="0.25">
      <c r="A93" s="11" t="s">
        <v>132</v>
      </c>
      <c r="B93" s="10">
        <f>COUNTIF('All Cards'!$J$2:$J$190,A93)</f>
        <v>1</v>
      </c>
      <c r="C93" s="40">
        <f>SUMIF('All Cards'!$J$2:$J$190,A93,'All Cards'!$C$2:$C$190)</f>
        <v>10.23</v>
      </c>
    </row>
    <row r="94" spans="1:3" x14ac:dyDescent="0.25">
      <c r="A94" s="5" t="s">
        <v>78</v>
      </c>
      <c r="B94" s="4">
        <f>COUNTIF('All Cards'!$J$2:$J$190,A94)</f>
        <v>1</v>
      </c>
      <c r="C94" s="41">
        <f>SUMIF('All Cards'!$J$2:$J$190,A94,'All Cards'!$C$2:$C$190)</f>
        <v>10</v>
      </c>
    </row>
    <row r="95" spans="1:3" x14ac:dyDescent="0.25">
      <c r="A95" s="11" t="s">
        <v>120</v>
      </c>
      <c r="B95" s="10">
        <f>COUNTIF('All Cards'!$J$2:$J$190,A95)</f>
        <v>1</v>
      </c>
      <c r="C95" s="40">
        <f>SUMIF('All Cards'!$J$2:$J$190,A95,'All Cards'!$C$2:$C$190)</f>
        <v>10</v>
      </c>
    </row>
    <row r="96" spans="1:3" x14ac:dyDescent="0.25">
      <c r="A96" s="5" t="s">
        <v>390</v>
      </c>
      <c r="B96" s="4">
        <f>COUNTIF('All Cards'!$J$2:$J$190,A96)</f>
        <v>2</v>
      </c>
      <c r="C96" s="41">
        <f>SUMIF('All Cards'!$J$2:$J$190,A96,'All Cards'!$C$2:$C$190)</f>
        <v>10</v>
      </c>
    </row>
    <row r="97" spans="1:3" x14ac:dyDescent="0.25">
      <c r="A97" s="11" t="s">
        <v>167</v>
      </c>
      <c r="B97" s="10">
        <f>COUNTIF('All Cards'!$J$2:$J$190,A97)</f>
        <v>1</v>
      </c>
      <c r="C97" s="40">
        <f>SUMIF('All Cards'!$J$2:$J$190,A97,'All Cards'!$C$2:$C$190)</f>
        <v>9.86</v>
      </c>
    </row>
    <row r="98" spans="1:3" x14ac:dyDescent="0.25">
      <c r="A98" s="5" t="s">
        <v>72</v>
      </c>
      <c r="B98" s="4">
        <f>COUNTIF('All Cards'!$J$2:$J$190,A98)</f>
        <v>1</v>
      </c>
      <c r="C98" s="41">
        <f>SUMIF('All Cards'!$J$2:$J$190,A98,'All Cards'!$C$2:$C$190)</f>
        <v>9.64</v>
      </c>
    </row>
    <row r="99" spans="1:3" x14ac:dyDescent="0.25">
      <c r="A99" s="11" t="s">
        <v>19</v>
      </c>
      <c r="B99" s="10">
        <f>COUNTIF('All Cards'!$J$2:$J$190,A99)</f>
        <v>1</v>
      </c>
      <c r="C99" s="40">
        <f>SUMIF('All Cards'!$J$2:$J$190,A99,'All Cards'!$C$2:$C$190)</f>
        <v>5</v>
      </c>
    </row>
    <row r="100" spans="1:3" x14ac:dyDescent="0.25">
      <c r="A100" s="5" t="s">
        <v>33</v>
      </c>
      <c r="B100" s="4">
        <f>COUNTIF('All Cards'!$J$2:$J$190,A100)</f>
        <v>1</v>
      </c>
      <c r="C100" s="41">
        <f>SUMIF('All Cards'!$J$2:$J$190,A100,'All Cards'!$C$2:$C$190)</f>
        <v>5</v>
      </c>
    </row>
    <row r="101" spans="1:3" x14ac:dyDescent="0.25">
      <c r="A101" s="11" t="s">
        <v>40</v>
      </c>
      <c r="B101" s="10">
        <f>COUNTIF('All Cards'!$J$2:$J$190,A101)</f>
        <v>1</v>
      </c>
      <c r="C101" s="40">
        <f>SUMIF('All Cards'!$J$2:$J$190,A101,'All Cards'!$C$2:$C$190)</f>
        <v>8.74</v>
      </c>
    </row>
    <row r="102" spans="1:3" x14ac:dyDescent="0.25">
      <c r="A102" s="5" t="s">
        <v>116</v>
      </c>
      <c r="B102" s="4">
        <f>COUNTIF('All Cards'!$J$2:$J$190,A102)</f>
        <v>1</v>
      </c>
      <c r="C102" s="41">
        <f>SUMIF('All Cards'!$J$2:$J$190,A102,'All Cards'!$C$2:$C$190)</f>
        <v>7.99</v>
      </c>
    </row>
    <row r="103" spans="1:3" x14ac:dyDescent="0.25">
      <c r="A103" s="11" t="s">
        <v>161</v>
      </c>
      <c r="B103" s="10">
        <f>COUNTIF('All Cards'!$J$2:$J$190,A103)</f>
        <v>1</v>
      </c>
      <c r="C103" s="40">
        <f>SUMIF('All Cards'!$J$2:$J$190,A103,'All Cards'!$C$2:$C$190)</f>
        <v>7.28</v>
      </c>
    </row>
    <row r="104" spans="1:3" x14ac:dyDescent="0.25">
      <c r="A104" s="5" t="s">
        <v>548</v>
      </c>
      <c r="B104" s="4">
        <f>COUNTIF('All Cards'!$J$2:$J$190,A104)</f>
        <v>1</v>
      </c>
      <c r="C104" s="41">
        <f>SUMIF('All Cards'!$J$2:$J$190,A104,'All Cards'!$C$2:$C$190)</f>
        <v>6.81</v>
      </c>
    </row>
    <row r="105" spans="1:3" x14ac:dyDescent="0.25">
      <c r="A105" s="11" t="s">
        <v>311</v>
      </c>
      <c r="B105" s="10">
        <f>COUNTIF('All Cards'!$J$2:$J$190,A105)</f>
        <v>1</v>
      </c>
      <c r="C105" s="40">
        <f>SUMIF('All Cards'!$J$2:$J$190,A105,'All Cards'!$C$2:$C$190)</f>
        <v>6.57</v>
      </c>
    </row>
    <row r="106" spans="1:3" x14ac:dyDescent="0.25">
      <c r="A106" s="5" t="s">
        <v>397</v>
      </c>
      <c r="B106" s="4">
        <f>COUNTIF('All Cards'!$J$2:$J$190,A106)</f>
        <v>1</v>
      </c>
      <c r="C106" s="41">
        <f>SUMIF('All Cards'!$J$2:$J$190,A106,'All Cards'!$C$2:$C$190)</f>
        <v>6.56</v>
      </c>
    </row>
    <row r="107" spans="1:3" x14ac:dyDescent="0.25">
      <c r="A107" s="11" t="s">
        <v>292</v>
      </c>
      <c r="B107" s="10">
        <f>COUNTIF('All Cards'!$J$2:$J$190,A107)</f>
        <v>1</v>
      </c>
      <c r="C107" s="40">
        <f>SUMIF('All Cards'!$J$2:$J$190,A107,'All Cards'!$C$2:$C$190)</f>
        <v>6.55</v>
      </c>
    </row>
    <row r="108" spans="1:3" x14ac:dyDescent="0.25">
      <c r="A108" s="5" t="s">
        <v>705</v>
      </c>
      <c r="B108" s="4">
        <f>COUNTIF('All Cards'!$J$2:$J$190,A108)</f>
        <v>1</v>
      </c>
      <c r="C108" s="41">
        <f>SUMIF('All Cards'!$J$2:$J$190,A108,'All Cards'!$C$2:$C$190)</f>
        <v>6.42</v>
      </c>
    </row>
    <row r="109" spans="1:3" x14ac:dyDescent="0.25">
      <c r="A109" s="11" t="s">
        <v>668</v>
      </c>
      <c r="B109" s="10">
        <f>COUNTIF('All Cards'!$J$2:$J$190,A109)</f>
        <v>1</v>
      </c>
      <c r="C109" s="40">
        <f>SUMIF('All Cards'!$J$2:$J$190,A109,'All Cards'!$C$2:$C$190)</f>
        <v>6.11</v>
      </c>
    </row>
    <row r="110" spans="1:3" x14ac:dyDescent="0.25">
      <c r="A110" s="5" t="s">
        <v>370</v>
      </c>
      <c r="B110" s="4">
        <f>COUNTIF('All Cards'!$J$2:$J$190,A110)</f>
        <v>1</v>
      </c>
      <c r="C110" s="41">
        <f>SUMIF('All Cards'!$J$2:$J$190,A110,'All Cards'!$C$2:$C$190)</f>
        <v>6.01</v>
      </c>
    </row>
    <row r="111" spans="1:3" x14ac:dyDescent="0.25">
      <c r="A111" s="11" t="s">
        <v>219</v>
      </c>
      <c r="B111" s="10">
        <f>COUNTIF('All Cards'!$J$2:$J$190,A111)</f>
        <v>1</v>
      </c>
      <c r="C111" s="40">
        <f>SUMIF('All Cards'!$J$2:$J$190,A111,'All Cards'!$C$2:$C$190)</f>
        <v>5.85</v>
      </c>
    </row>
    <row r="112" spans="1:3" x14ac:dyDescent="0.25">
      <c r="A112" s="5" t="s">
        <v>61</v>
      </c>
      <c r="B112" s="4">
        <f>COUNTIF('All Cards'!$J$2:$J$190,A112)</f>
        <v>1</v>
      </c>
      <c r="C112" s="41">
        <f>SUMIF('All Cards'!$J$2:$J$190,A112,'All Cards'!$C$2:$C$190)</f>
        <v>5.64</v>
      </c>
    </row>
    <row r="113" spans="1:3" x14ac:dyDescent="0.25">
      <c r="A113" s="11" t="s">
        <v>156</v>
      </c>
      <c r="B113" s="10">
        <f>COUNTIF('All Cards'!$J$2:$J$190,A113)</f>
        <v>1</v>
      </c>
      <c r="C113" s="40">
        <f>SUMIF('All Cards'!$J$2:$J$190,A113,'All Cards'!$C$2:$C$190)</f>
        <v>5.47</v>
      </c>
    </row>
    <row r="114" spans="1:3" x14ac:dyDescent="0.25">
      <c r="A114" s="5" t="s">
        <v>125</v>
      </c>
      <c r="B114" s="4">
        <f>COUNTIF('All Cards'!$J$2:$J$190,A114)</f>
        <v>1</v>
      </c>
      <c r="C114" s="41">
        <f>SUMIF('All Cards'!$J$2:$J$190,A114,'All Cards'!$C$2:$C$190)</f>
        <v>5.34</v>
      </c>
    </row>
    <row r="115" spans="1:3" x14ac:dyDescent="0.25">
      <c r="A115" s="11" t="s">
        <v>339</v>
      </c>
      <c r="B115" s="10">
        <f>COUNTIF('All Cards'!$J$2:$J$190,A115)</f>
        <v>1</v>
      </c>
      <c r="C115" s="40">
        <f>SUMIF('All Cards'!$J$2:$J$190,A115,'All Cards'!$C$2:$C$190)</f>
        <v>5.3</v>
      </c>
    </row>
    <row r="116" spans="1:3" x14ac:dyDescent="0.25">
      <c r="A116" s="5" t="s">
        <v>67</v>
      </c>
      <c r="B116" s="4">
        <f>COUNTIF('All Cards'!$J$2:$J$190,A116)</f>
        <v>1</v>
      </c>
      <c r="C116" s="41">
        <f>SUMIF('All Cards'!$J$2:$J$190,A116,'All Cards'!$C$2:$C$190)</f>
        <v>5.03</v>
      </c>
    </row>
    <row r="117" spans="1:3" x14ac:dyDescent="0.25">
      <c r="A117" s="11" t="s">
        <v>47</v>
      </c>
      <c r="B117" s="10">
        <f>COUNTIF('All Cards'!$J$2:$J$190,A117)</f>
        <v>1</v>
      </c>
      <c r="C117" s="40">
        <f>SUMIF('All Cards'!$J$2:$J$190,A117,'All Cards'!$C$2:$C$190)</f>
        <v>4.91</v>
      </c>
    </row>
    <row r="118" spans="1:3" x14ac:dyDescent="0.25">
      <c r="A118" s="5" t="s">
        <v>439</v>
      </c>
      <c r="B118" s="4">
        <f>COUNTIF('All Cards'!$J$2:$J$190,A118)</f>
        <v>1</v>
      </c>
      <c r="C118" s="41">
        <f>SUMIF('All Cards'!$J$2:$J$190,A118,'All Cards'!$C$2:$C$190)</f>
        <v>4.4800000000000004</v>
      </c>
    </row>
    <row r="119" spans="1:3" x14ac:dyDescent="0.25">
      <c r="A119" s="11" t="s">
        <v>791</v>
      </c>
      <c r="B119" s="10">
        <f>COUNTIF('All Cards'!$J$2:$J$190,A119)</f>
        <v>1</v>
      </c>
      <c r="C119" s="40">
        <f>SUMIF('All Cards'!$J$2:$J$190,A119,'All Cards'!$C$2:$C$190)</f>
        <v>4.24</v>
      </c>
    </row>
    <row r="120" spans="1:3" x14ac:dyDescent="0.25">
      <c r="A120" s="5" t="s">
        <v>266</v>
      </c>
      <c r="B120" s="4">
        <f>COUNTIF('All Cards'!$J$2:$J$190,A120)</f>
        <v>1</v>
      </c>
      <c r="C120" s="41">
        <f>SUMIF('All Cards'!$J$2:$J$190,A120,'All Cards'!$C$2:$C$190)</f>
        <v>3.98</v>
      </c>
    </row>
    <row r="121" spans="1:3" x14ac:dyDescent="0.25">
      <c r="A121" s="11" t="s">
        <v>194</v>
      </c>
      <c r="B121" s="10">
        <f>COUNTIF('All Cards'!$J$2:$J$190,A121)</f>
        <v>1</v>
      </c>
      <c r="C121" s="40">
        <f>SUMIF('All Cards'!$J$2:$J$190,A121,'All Cards'!$C$2:$C$190)</f>
        <v>3</v>
      </c>
    </row>
    <row r="122" spans="1:3" x14ac:dyDescent="0.25">
      <c r="A122" s="5" t="s">
        <v>388</v>
      </c>
      <c r="B122" s="4">
        <f>COUNTIF('All Cards'!$J$2:$J$190,A122)</f>
        <v>1</v>
      </c>
      <c r="C122" s="41">
        <f>SUMIF('All Cards'!$J$2:$J$190,A122,'All Cards'!$C$2:$C$190)</f>
        <v>2.93</v>
      </c>
    </row>
    <row r="123" spans="1:3" x14ac:dyDescent="0.25">
      <c r="A123" s="11" t="s">
        <v>37</v>
      </c>
      <c r="B123" s="10">
        <f>COUNTIF('All Cards'!$J$2:$J$190,A123)</f>
        <v>1</v>
      </c>
      <c r="C123" s="40">
        <f>SUMIF('All Cards'!$J$2:$J$190,A123,'All Cards'!$C$2:$C$190)</f>
        <v>2.92</v>
      </c>
    </row>
    <row r="124" spans="1:3" x14ac:dyDescent="0.25">
      <c r="A124" s="5" t="s">
        <v>656</v>
      </c>
      <c r="B124" s="4">
        <f>COUNTIF('All Cards'!$J$2:$J$190,A124)</f>
        <v>1</v>
      </c>
      <c r="C124" s="41">
        <f>SUMIF('All Cards'!$J$2:$J$190,A124,'All Cards'!$C$2:$C$190)</f>
        <v>2.91</v>
      </c>
    </row>
    <row r="125" spans="1:3" x14ac:dyDescent="0.25">
      <c r="A125" s="11" t="s">
        <v>271</v>
      </c>
      <c r="B125" s="10">
        <f>COUNTIF('All Cards'!$J$2:$J$190,A125)</f>
        <v>1</v>
      </c>
      <c r="C125" s="40">
        <f>SUMIF('All Cards'!$J$2:$J$190,A125,'All Cards'!$C$2:$C$190)</f>
        <v>2.69</v>
      </c>
    </row>
    <row r="126" spans="1:3" x14ac:dyDescent="0.25">
      <c r="A126" s="5" t="s">
        <v>406</v>
      </c>
      <c r="B126" s="4">
        <f>COUNTIF('All Cards'!$J$2:$J$190,A126)</f>
        <v>1</v>
      </c>
      <c r="C126" s="41">
        <f>SUMIF('All Cards'!$J$2:$J$190,A126,'All Cards'!$C$2:$C$190)</f>
        <v>2.37</v>
      </c>
    </row>
    <row r="127" spans="1:3" x14ac:dyDescent="0.25">
      <c r="A127" s="11" t="s">
        <v>708</v>
      </c>
      <c r="B127" s="10">
        <f>COUNTIF('All Cards'!$J$2:$J$190,A127)</f>
        <v>1</v>
      </c>
      <c r="C127" s="40">
        <f>SUMIF('All Cards'!$J$2:$J$190,A127,'All Cards'!$C$2:$C$190)</f>
        <v>2.11</v>
      </c>
    </row>
    <row r="128" spans="1:3" x14ac:dyDescent="0.25">
      <c r="A128" s="5" t="s">
        <v>103</v>
      </c>
      <c r="B128" s="4">
        <f>COUNTIF('All Cards'!$J$2:$J$190,A128)</f>
        <v>1</v>
      </c>
      <c r="C128" s="41">
        <f>SUMIF('All Cards'!$J$2:$J$190,A128,'All Cards'!$C$2:$C$190)</f>
        <v>2</v>
      </c>
    </row>
    <row r="129" spans="1:3" x14ac:dyDescent="0.25">
      <c r="A129" s="11" t="s">
        <v>301</v>
      </c>
      <c r="B129" s="10">
        <f>COUNTIF('All Cards'!$J$2:$J$190,A129)</f>
        <v>1</v>
      </c>
      <c r="C129" s="40">
        <f>SUMIF('All Cards'!$J$2:$J$190,A129,'All Cards'!$C$2:$C$190)</f>
        <v>2</v>
      </c>
    </row>
    <row r="130" spans="1:3" x14ac:dyDescent="0.25">
      <c r="A130" s="5" t="s">
        <v>416</v>
      </c>
      <c r="B130" s="4">
        <f>COUNTIF('All Cards'!$J$2:$J$190,A130)</f>
        <v>1</v>
      </c>
      <c r="C130" s="41">
        <f>SUMIF('All Cards'!$J$2:$J$190,A130,'All Cards'!$C$2:$C$190)</f>
        <v>0.45</v>
      </c>
    </row>
    <row r="131" spans="1:3" x14ac:dyDescent="0.25">
      <c r="A131" s="11" t="s">
        <v>418</v>
      </c>
      <c r="B131" s="10">
        <f>COUNTIF('All Cards'!$J$2:$J$190,A131)</f>
        <v>1</v>
      </c>
      <c r="C131" s="40">
        <f>SUMIF('All Cards'!$J$2:$J$190,A131,'All Cards'!$C$2:$C$190)</f>
        <v>0.45</v>
      </c>
    </row>
    <row r="132" spans="1:3" x14ac:dyDescent="0.25">
      <c r="A132" s="25" t="s">
        <v>836</v>
      </c>
      <c r="C132" s="26">
        <f>SUM('All Cards'!$C$2:$C$190)</f>
        <v>8091.4099999999971</v>
      </c>
    </row>
  </sheetData>
  <autoFilter ref="A3:C3" xr:uid="{00000000-0009-0000-0000-000002000000}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8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2" customWidth="1"/>
    <col min="2" max="2" width="10" customWidth="1"/>
    <col min="3" max="3" width="18" customWidth="1"/>
  </cols>
  <sheetData>
    <row r="1" spans="1:3" ht="30" customHeight="1" x14ac:dyDescent="0.25">
      <c r="A1" s="80" t="s">
        <v>870</v>
      </c>
      <c r="B1" s="69"/>
      <c r="C1" s="69"/>
    </row>
    <row r="2" spans="1:3" ht="14.1" customHeight="1" x14ac:dyDescent="0.25">
      <c r="A2" s="81" t="s">
        <v>869</v>
      </c>
      <c r="B2" s="69"/>
      <c r="C2" s="69"/>
    </row>
    <row r="3" spans="1:3" ht="18" customHeight="1" x14ac:dyDescent="0.25">
      <c r="A3" s="56" t="s">
        <v>871</v>
      </c>
      <c r="B3" s="56" t="s">
        <v>846</v>
      </c>
      <c r="C3" s="56" t="s">
        <v>847</v>
      </c>
    </row>
    <row r="4" spans="1:3" x14ac:dyDescent="0.25">
      <c r="A4" s="5" t="s">
        <v>214</v>
      </c>
      <c r="B4" s="4">
        <f>COUNTIF('All Cards'!$K$2:$K$190,A4)</f>
        <v>19</v>
      </c>
      <c r="C4" s="41">
        <f>SUMIF('All Cards'!$K$2:$K$190,A4,'All Cards'!$C$2:$C$190)</f>
        <v>1874.2800000000007</v>
      </c>
    </row>
    <row r="5" spans="1:3" x14ac:dyDescent="0.25">
      <c r="A5" s="11" t="s">
        <v>679</v>
      </c>
      <c r="B5" s="10">
        <f>COUNTIF('All Cards'!$K$2:$K$190,A5)</f>
        <v>12</v>
      </c>
      <c r="C5" s="40">
        <f>SUMIF('All Cards'!$K$2:$K$190,A5,'All Cards'!$C$2:$C$190)</f>
        <v>1109.9199999999998</v>
      </c>
    </row>
    <row r="6" spans="1:3" x14ac:dyDescent="0.25">
      <c r="A6" s="5" t="s">
        <v>195</v>
      </c>
      <c r="B6" s="4">
        <f>COUNTIF('All Cards'!$K$2:$K$190,A6)</f>
        <v>27</v>
      </c>
      <c r="C6" s="41">
        <f>SUMIF('All Cards'!$K$2:$K$190,A6,'All Cards'!$C$2:$C$190)</f>
        <v>1021.7700000000002</v>
      </c>
    </row>
    <row r="7" spans="1:3" x14ac:dyDescent="0.25">
      <c r="A7" s="11" t="s">
        <v>312</v>
      </c>
      <c r="B7" s="10">
        <f>COUNTIF('All Cards'!$K$2:$K$190,A7)</f>
        <v>25</v>
      </c>
      <c r="C7" s="40">
        <f>SUMIF('All Cards'!$K$2:$K$190,A7,'All Cards'!$C$2:$C$190)</f>
        <v>776.87</v>
      </c>
    </row>
    <row r="8" spans="1:3" x14ac:dyDescent="0.25">
      <c r="A8" s="5" t="s">
        <v>523</v>
      </c>
      <c r="B8" s="4">
        <f>COUNTIF('All Cards'!$K$2:$K$190,A8)</f>
        <v>7</v>
      </c>
      <c r="C8" s="41">
        <f>SUMIF('All Cards'!$K$2:$K$190,A8,'All Cards'!$C$2:$C$190)</f>
        <v>598.39999999999986</v>
      </c>
    </row>
    <row r="9" spans="1:3" x14ac:dyDescent="0.25">
      <c r="A9" s="11" t="s">
        <v>735</v>
      </c>
      <c r="B9" s="10">
        <f>COUNTIF('All Cards'!$K$2:$K$190,A9)</f>
        <v>9</v>
      </c>
      <c r="C9" s="40">
        <f>SUMIF('All Cards'!$K$2:$K$190,A9,'All Cards'!$C$2:$C$190)</f>
        <v>525.21</v>
      </c>
    </row>
    <row r="10" spans="1:3" x14ac:dyDescent="0.25">
      <c r="A10" s="5" t="s">
        <v>510</v>
      </c>
      <c r="B10" s="4">
        <f>COUNTIF('All Cards'!$K$2:$K$190,A10)</f>
        <v>3</v>
      </c>
      <c r="C10" s="41">
        <f>SUMIF('All Cards'!$K$2:$K$190,A10,'All Cards'!$C$2:$C$190)</f>
        <v>416.12</v>
      </c>
    </row>
    <row r="11" spans="1:3" x14ac:dyDescent="0.25">
      <c r="A11" s="11" t="s">
        <v>104</v>
      </c>
      <c r="B11" s="10">
        <f>COUNTIF('All Cards'!$K$2:$K$190,A11)</f>
        <v>4</v>
      </c>
      <c r="C11" s="40">
        <f>SUMIF('All Cards'!$K$2:$K$190,A11,'All Cards'!$C$2:$C$190)</f>
        <v>292.07</v>
      </c>
    </row>
    <row r="12" spans="1:3" x14ac:dyDescent="0.25">
      <c r="A12" s="5" t="s">
        <v>378</v>
      </c>
      <c r="B12" s="4">
        <f>COUNTIF('All Cards'!$K$2:$K$190,A12)</f>
        <v>3</v>
      </c>
      <c r="C12" s="41">
        <f>SUMIF('All Cards'!$K$2:$K$190,A12,'All Cards'!$C$2:$C$190)</f>
        <v>120</v>
      </c>
    </row>
    <row r="13" spans="1:3" x14ac:dyDescent="0.25">
      <c r="A13" s="11" t="s">
        <v>48</v>
      </c>
      <c r="B13" s="10">
        <f>COUNTIF('All Cards'!$K$2:$K$190,A13)</f>
        <v>9</v>
      </c>
      <c r="C13" s="40">
        <f>SUMIF('All Cards'!$K$2:$K$190,A13,'All Cards'!$C$2:$C$190)</f>
        <v>136.44999999999999</v>
      </c>
    </row>
    <row r="14" spans="1:3" x14ac:dyDescent="0.25">
      <c r="A14" s="5" t="s">
        <v>16</v>
      </c>
      <c r="B14" s="4">
        <f>COUNTIF('All Cards'!$K$2:$K$190,A14)</f>
        <v>1</v>
      </c>
      <c r="C14" s="41">
        <f>SUMIF('All Cards'!$K$2:$K$190,A14,'All Cards'!$C$2:$C$190)</f>
        <v>9</v>
      </c>
    </row>
    <row r="15" spans="1:3" x14ac:dyDescent="0.25">
      <c r="A15" s="11" t="s">
        <v>495</v>
      </c>
      <c r="B15" s="10">
        <f>COUNTIF('All Cards'!$K$2:$K$190,A15)</f>
        <v>3</v>
      </c>
      <c r="C15" s="40">
        <f>SUMIF('All Cards'!$K$2:$K$190,A15,'All Cards'!$C$2:$C$190)</f>
        <v>140.54</v>
      </c>
    </row>
    <row r="16" spans="1:3" x14ac:dyDescent="0.25">
      <c r="A16" s="5" t="s">
        <v>556</v>
      </c>
      <c r="B16" s="4">
        <f>COUNTIF('All Cards'!$K$2:$K$190,A16)</f>
        <v>3</v>
      </c>
      <c r="C16" s="41">
        <f>SUMIF('All Cards'!$K$2:$K$190,A16,'All Cards'!$C$2:$C$190)</f>
        <v>125.13000000000001</v>
      </c>
    </row>
    <row r="17" spans="1:3" x14ac:dyDescent="0.25">
      <c r="A17" s="11" t="s">
        <v>455</v>
      </c>
      <c r="B17" s="10">
        <f>COUNTIF('All Cards'!$K$2:$K$190,A17)</f>
        <v>7</v>
      </c>
      <c r="C17" s="40">
        <f>SUMIF('All Cards'!$K$2:$K$190,A17,'All Cards'!$C$2:$C$190)</f>
        <v>111.37</v>
      </c>
    </row>
    <row r="18" spans="1:3" x14ac:dyDescent="0.25">
      <c r="A18" s="5" t="s">
        <v>150</v>
      </c>
      <c r="B18" s="4">
        <f>COUNTIF('All Cards'!$K$2:$K$190,A18)</f>
        <v>7</v>
      </c>
      <c r="C18" s="41">
        <f>SUMIF('All Cards'!$K$2:$K$190,A18,'All Cards'!$C$2:$C$190)</f>
        <v>91.15</v>
      </c>
    </row>
    <row r="19" spans="1:3" x14ac:dyDescent="0.25">
      <c r="A19" s="11" t="s">
        <v>657</v>
      </c>
      <c r="B19" s="10">
        <f>COUNTIF('All Cards'!$K$2:$K$190,A19)</f>
        <v>6</v>
      </c>
      <c r="C19" s="40">
        <f>SUMIF('All Cards'!$K$2:$K$190,A19,'All Cards'!$C$2:$C$190)</f>
        <v>80.489999999999995</v>
      </c>
    </row>
    <row r="20" spans="1:3" x14ac:dyDescent="0.25">
      <c r="A20" s="5" t="s">
        <v>606</v>
      </c>
      <c r="B20" s="4">
        <f>COUNTIF('All Cards'!$K$2:$K$190,A20)</f>
        <v>1</v>
      </c>
      <c r="C20" s="41">
        <f>SUMIF('All Cards'!$K$2:$K$190,A20,'All Cards'!$C$2:$C$190)</f>
        <v>71.349999999999994</v>
      </c>
    </row>
    <row r="21" spans="1:3" x14ac:dyDescent="0.25">
      <c r="A21" s="11" t="s">
        <v>433</v>
      </c>
      <c r="B21" s="10">
        <f>COUNTIF('All Cards'!$K$2:$K$190,A21)</f>
        <v>2</v>
      </c>
      <c r="C21" s="40">
        <f>SUMIF('All Cards'!$K$2:$K$190,A21,'All Cards'!$C$2:$C$190)</f>
        <v>66.490000000000009</v>
      </c>
    </row>
    <row r="22" spans="1:3" x14ac:dyDescent="0.25">
      <c r="A22" s="5" t="s">
        <v>575</v>
      </c>
      <c r="B22" s="4">
        <f>COUNTIF('All Cards'!$K$2:$K$190,A22)</f>
        <v>4</v>
      </c>
      <c r="C22" s="41">
        <f>SUMIF('All Cards'!$K$2:$K$190,A22,'All Cards'!$C$2:$C$190)</f>
        <v>52.080000000000005</v>
      </c>
    </row>
    <row r="23" spans="1:3" x14ac:dyDescent="0.25">
      <c r="A23" s="11" t="s">
        <v>410</v>
      </c>
      <c r="B23" s="10">
        <f>COUNTIF('All Cards'!$K$2:$K$190,A23)</f>
        <v>4</v>
      </c>
      <c r="C23" s="40">
        <f>SUMIF('All Cards'!$K$2:$K$190,A23,'All Cards'!$C$2:$C$190)</f>
        <v>51.870000000000005</v>
      </c>
    </row>
    <row r="24" spans="1:3" x14ac:dyDescent="0.25">
      <c r="A24" s="5" t="s">
        <v>818</v>
      </c>
      <c r="B24" s="4">
        <f>COUNTIF('All Cards'!$K$2:$K$190,A24)</f>
        <v>1</v>
      </c>
      <c r="C24" s="41">
        <f>SUMIF('All Cards'!$K$2:$K$190,A24,'All Cards'!$C$2:$C$190)</f>
        <v>50</v>
      </c>
    </row>
    <row r="25" spans="1:3" x14ac:dyDescent="0.25">
      <c r="A25" s="11" t="s">
        <v>565</v>
      </c>
      <c r="B25" s="10">
        <f>COUNTIF('All Cards'!$K$2:$K$190,A25)</f>
        <v>3</v>
      </c>
      <c r="C25" s="40">
        <f>SUMIF('All Cards'!$K$2:$K$190,A25,'All Cards'!$C$2:$C$190)</f>
        <v>44.019999999999996</v>
      </c>
    </row>
    <row r="26" spans="1:3" x14ac:dyDescent="0.25">
      <c r="A26" s="5" t="s">
        <v>20</v>
      </c>
      <c r="B26" s="4">
        <f>COUNTIF('All Cards'!$K$2:$K$190,A26)</f>
        <v>2</v>
      </c>
      <c r="C26" s="41">
        <f>SUMIF('All Cards'!$K$2:$K$190,A26,'All Cards'!$C$2:$C$190)</f>
        <v>20</v>
      </c>
    </row>
    <row r="27" spans="1:3" x14ac:dyDescent="0.25">
      <c r="A27" s="11" t="s">
        <v>634</v>
      </c>
      <c r="B27" s="10">
        <f>COUNTIF('All Cards'!$K$2:$K$190,A27)</f>
        <v>1</v>
      </c>
      <c r="C27" s="40">
        <f>SUMIF('All Cards'!$K$2:$K$190,A27,'All Cards'!$C$2:$C$190)</f>
        <v>30</v>
      </c>
    </row>
    <row r="28" spans="1:3" x14ac:dyDescent="0.25">
      <c r="A28" s="5" t="s">
        <v>144</v>
      </c>
      <c r="B28" s="4">
        <f>COUNTIF('All Cards'!$K$2:$K$190,A28)</f>
        <v>1</v>
      </c>
      <c r="C28" s="41">
        <f>SUMIF('All Cards'!$K$2:$K$190,A28,'All Cards'!$C$2:$C$190)</f>
        <v>24.74</v>
      </c>
    </row>
    <row r="29" spans="1:3" x14ac:dyDescent="0.25">
      <c r="A29" s="11" t="s">
        <v>776</v>
      </c>
      <c r="B29" s="10">
        <f>COUNTIF('All Cards'!$K$2:$K$190,A29)</f>
        <v>2</v>
      </c>
      <c r="C29" s="40">
        <f>SUMIF('All Cards'!$K$2:$K$190,A29,'All Cards'!$C$2:$C$190)</f>
        <v>23.130000000000003</v>
      </c>
    </row>
    <row r="30" spans="1:3" x14ac:dyDescent="0.25">
      <c r="A30" s="5" t="s">
        <v>98</v>
      </c>
      <c r="B30" s="4">
        <f>COUNTIF('All Cards'!$K$2:$K$190,A30)</f>
        <v>1</v>
      </c>
      <c r="C30" s="41">
        <f>SUMIF('All Cards'!$K$2:$K$190,A30,'All Cards'!$C$2:$C$190)</f>
        <v>4</v>
      </c>
    </row>
    <row r="31" spans="1:3" x14ac:dyDescent="0.25">
      <c r="A31" s="11" t="s">
        <v>184</v>
      </c>
      <c r="B31" s="10">
        <f>COUNTIF('All Cards'!$K$2:$K$190,A31)</f>
        <v>1</v>
      </c>
      <c r="C31" s="40">
        <f>SUMIF('All Cards'!$K$2:$K$190,A31,'All Cards'!$C$2:$C$190)</f>
        <v>21.24</v>
      </c>
    </row>
    <row r="32" spans="1:3" x14ac:dyDescent="0.25">
      <c r="A32" s="5" t="s">
        <v>643</v>
      </c>
      <c r="B32" s="4">
        <f>COUNTIF('All Cards'!$K$2:$K$190,A32)</f>
        <v>1</v>
      </c>
      <c r="C32" s="41">
        <f>SUMIF('All Cards'!$K$2:$K$190,A32,'All Cards'!$C$2:$C$190)</f>
        <v>20.2</v>
      </c>
    </row>
    <row r="33" spans="1:3" x14ac:dyDescent="0.25">
      <c r="A33" s="11" t="s">
        <v>84</v>
      </c>
      <c r="B33" s="10">
        <f>COUNTIF('All Cards'!$K$2:$K$190,A33)</f>
        <v>2</v>
      </c>
      <c r="C33" s="40">
        <f>SUMIF('All Cards'!$K$2:$K$190,A33,'All Cards'!$C$2:$C$190)</f>
        <v>19.100000000000001</v>
      </c>
    </row>
    <row r="34" spans="1:3" x14ac:dyDescent="0.25">
      <c r="A34" s="5" t="s">
        <v>94</v>
      </c>
      <c r="B34" s="4">
        <f>COUNTIF('All Cards'!$K$2:$K$190,A34)</f>
        <v>1</v>
      </c>
      <c r="C34" s="41">
        <f>SUMIF('All Cards'!$K$2:$K$190,A34,'All Cards'!$C$2:$C$190)</f>
        <v>17.64</v>
      </c>
    </row>
    <row r="35" spans="1:3" x14ac:dyDescent="0.25">
      <c r="A35" s="11" t="s">
        <v>391</v>
      </c>
      <c r="B35" s="10">
        <f>COUNTIF('All Cards'!$K$2:$K$190,A35)</f>
        <v>3</v>
      </c>
      <c r="C35" s="40">
        <f>SUMIF('All Cards'!$K$2:$K$190,A35,'All Cards'!$C$2:$C$190)</f>
        <v>16.559999999999999</v>
      </c>
    </row>
    <row r="36" spans="1:3" x14ac:dyDescent="0.25">
      <c r="A36" s="5" t="s">
        <v>424</v>
      </c>
      <c r="B36" s="4">
        <f>COUNTIF('All Cards'!$K$2:$K$190,A36)</f>
        <v>2</v>
      </c>
      <c r="C36" s="41">
        <f>SUMIF('All Cards'!$K$2:$K$190,A36,'All Cards'!$C$2:$C$190)</f>
        <v>16.53</v>
      </c>
    </row>
    <row r="37" spans="1:3" x14ac:dyDescent="0.25">
      <c r="A37" s="11" t="s">
        <v>638</v>
      </c>
      <c r="B37" s="10">
        <f>COUNTIF('All Cards'!$K$2:$K$190,A37)</f>
        <v>1</v>
      </c>
      <c r="C37" s="40">
        <f>SUMIF('All Cards'!$K$2:$K$190,A37,'All Cards'!$C$2:$C$190)</f>
        <v>15.06</v>
      </c>
    </row>
    <row r="38" spans="1:3" x14ac:dyDescent="0.25">
      <c r="A38" s="5" t="s">
        <v>401</v>
      </c>
      <c r="B38" s="4">
        <f>COUNTIF('All Cards'!$K$2:$K$190,A38)</f>
        <v>1</v>
      </c>
      <c r="C38" s="41">
        <f>SUMIF('All Cards'!$K$2:$K$190,A38,'All Cards'!$C$2:$C$190)</f>
        <v>14.32</v>
      </c>
    </row>
    <row r="39" spans="1:3" x14ac:dyDescent="0.25">
      <c r="A39" s="11" t="s">
        <v>137</v>
      </c>
      <c r="B39" s="10">
        <f>COUNTIF('All Cards'!$K$2:$K$190,A39)</f>
        <v>1</v>
      </c>
      <c r="C39" s="40">
        <f>SUMIF('All Cards'!$K$2:$K$190,A39,'All Cards'!$C$2:$C$190)</f>
        <v>14.21</v>
      </c>
    </row>
    <row r="40" spans="1:3" x14ac:dyDescent="0.25">
      <c r="A40" s="5" t="s">
        <v>503</v>
      </c>
      <c r="B40" s="4">
        <f>COUNTIF('All Cards'!$K$2:$K$190,A40)</f>
        <v>1</v>
      </c>
      <c r="C40" s="41">
        <f>SUMIF('All Cards'!$K$2:$K$190,A40,'All Cards'!$C$2:$C$190)</f>
        <v>13.15</v>
      </c>
    </row>
    <row r="41" spans="1:3" x14ac:dyDescent="0.25">
      <c r="A41" s="11" t="s">
        <v>34</v>
      </c>
      <c r="B41" s="10">
        <f>COUNTIF('All Cards'!$K$2:$K$190,A41)</f>
        <v>2</v>
      </c>
      <c r="C41" s="40">
        <f>SUMIF('All Cards'!$K$2:$K$190,A41,'All Cards'!$C$2:$C$190)</f>
        <v>7.92</v>
      </c>
    </row>
    <row r="42" spans="1:3" x14ac:dyDescent="0.25">
      <c r="A42" s="5" t="s">
        <v>173</v>
      </c>
      <c r="B42" s="4">
        <f>COUNTIF('All Cards'!$K$2:$K$190,A42)</f>
        <v>1</v>
      </c>
      <c r="C42" s="41">
        <f>SUMIF('All Cards'!$K$2:$K$190,A42,'All Cards'!$C$2:$C$190)</f>
        <v>10.24</v>
      </c>
    </row>
    <row r="43" spans="1:3" x14ac:dyDescent="0.25">
      <c r="A43" s="11" t="s">
        <v>133</v>
      </c>
      <c r="B43" s="10">
        <f>COUNTIF('All Cards'!$K$2:$K$190,A43)</f>
        <v>1</v>
      </c>
      <c r="C43" s="40">
        <f>SUMIF('All Cards'!$K$2:$K$190,A43,'All Cards'!$C$2:$C$190)</f>
        <v>10.23</v>
      </c>
    </row>
    <row r="44" spans="1:3" x14ac:dyDescent="0.25">
      <c r="A44" s="5" t="s">
        <v>121</v>
      </c>
      <c r="B44" s="4">
        <f>COUNTIF('All Cards'!$K$2:$K$190,A44)</f>
        <v>1</v>
      </c>
      <c r="C44" s="41">
        <f>SUMIF('All Cards'!$K$2:$K$190,A44,'All Cards'!$C$2:$C$190)</f>
        <v>10</v>
      </c>
    </row>
    <row r="45" spans="1:3" x14ac:dyDescent="0.25">
      <c r="A45" s="11" t="s">
        <v>41</v>
      </c>
      <c r="B45" s="10">
        <f>COUNTIF('All Cards'!$K$2:$K$190,A45)</f>
        <v>1</v>
      </c>
      <c r="C45" s="40">
        <f>SUMIF('All Cards'!$K$2:$K$190,A45,'All Cards'!$C$2:$C$190)</f>
        <v>8.74</v>
      </c>
    </row>
    <row r="46" spans="1:3" x14ac:dyDescent="0.25">
      <c r="A46" s="5" t="s">
        <v>126</v>
      </c>
      <c r="B46" s="4">
        <f>COUNTIF('All Cards'!$K$2:$K$190,A46)</f>
        <v>1</v>
      </c>
      <c r="C46" s="41">
        <f>SUMIF('All Cards'!$K$2:$K$190,A46,'All Cards'!$C$2:$C$190)</f>
        <v>5.34</v>
      </c>
    </row>
    <row r="47" spans="1:3" x14ac:dyDescent="0.25">
      <c r="A47" s="11" t="s">
        <v>440</v>
      </c>
      <c r="B47" s="10">
        <f>COUNTIF('All Cards'!$K$2:$K$190,A47)</f>
        <v>1</v>
      </c>
      <c r="C47" s="40">
        <f>SUMIF('All Cards'!$K$2:$K$190,A47,'All Cards'!$C$2:$C$190)</f>
        <v>4.4800000000000004</v>
      </c>
    </row>
    <row r="48" spans="1:3" x14ac:dyDescent="0.25">
      <c r="A48" s="25" t="s">
        <v>836</v>
      </c>
      <c r="C48" s="26">
        <f>SUM('All Cards'!$C$2:$C$190)</f>
        <v>8091.4099999999971</v>
      </c>
    </row>
  </sheetData>
  <autoFilter ref="A3:C3" xr:uid="{00000000-0009-0000-0000-000003000000}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0"/>
  <sheetViews>
    <sheetView showGridLines="0" workbookViewId="0"/>
  </sheetViews>
  <sheetFormatPr defaultRowHeight="15" x14ac:dyDescent="0.25"/>
  <cols>
    <col min="1" max="1" width="28" customWidth="1"/>
    <col min="2" max="2" width="14" customWidth="1"/>
    <col min="15" max="15" width="28" customWidth="1"/>
    <col min="16" max="16" width="14" customWidth="1"/>
  </cols>
  <sheetData>
    <row r="1" spans="1:16" ht="23.1" customHeight="1" x14ac:dyDescent="0.25">
      <c r="A1" s="80" t="s">
        <v>872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3" spans="1:16" x14ac:dyDescent="0.25">
      <c r="A3" s="57" t="s">
        <v>3</v>
      </c>
      <c r="B3" s="57" t="s">
        <v>873</v>
      </c>
      <c r="O3" s="57" t="s">
        <v>874</v>
      </c>
      <c r="P3" s="57" t="s">
        <v>846</v>
      </c>
    </row>
    <row r="4" spans="1:16" x14ac:dyDescent="0.25">
      <c r="A4" t="s">
        <v>856</v>
      </c>
      <c r="B4" s="58">
        <f>SUMIF('All Cards'!$D$2:$D$190,"high",'All Cards'!$C$2:$C$190)</f>
        <v>3487.0099999999989</v>
      </c>
      <c r="O4" t="s">
        <v>848</v>
      </c>
      <c r="P4">
        <f>COUNTIFS('All Cards'!$C$2:$C$190,"&gt;=0",'All Cards'!$C$2:$C$190,"&lt;5")</f>
        <v>21</v>
      </c>
    </row>
    <row r="5" spans="1:16" x14ac:dyDescent="0.25">
      <c r="A5" t="s">
        <v>861</v>
      </c>
      <c r="B5" s="58">
        <f>SUMIF('All Cards'!$D$2:$D$190,"medium",'All Cards'!$C$2:$C$190)</f>
        <v>177.79999999999998</v>
      </c>
      <c r="O5" t="s">
        <v>849</v>
      </c>
      <c r="P5">
        <f>COUNTIFS('All Cards'!$C$2:$C$190,"&gt;=5",'All Cards'!$C$2:$C$190,"&lt;25")</f>
        <v>109</v>
      </c>
    </row>
    <row r="6" spans="1:16" x14ac:dyDescent="0.25">
      <c r="A6" t="s">
        <v>855</v>
      </c>
      <c r="B6" s="58">
        <f>SUMIF('All Cards'!$D$2:$D$190,"low",'All Cards'!$C$2:$C$190)</f>
        <v>2917.0600000000009</v>
      </c>
      <c r="O6" t="s">
        <v>850</v>
      </c>
      <c r="P6">
        <f>COUNTIFS('All Cards'!$C$2:$C$190,"&gt;=25",'All Cards'!$C$2:$C$190,"&lt;100")</f>
        <v>39</v>
      </c>
    </row>
    <row r="7" spans="1:16" x14ac:dyDescent="0.25">
      <c r="A7" t="s">
        <v>857</v>
      </c>
      <c r="B7" s="58">
        <f>SUMIF('All Cards'!$D$2:$D$190,"estimated",'All Cards'!$C$2:$C$190)</f>
        <v>339.53999999999996</v>
      </c>
      <c r="O7" t="s">
        <v>851</v>
      </c>
      <c r="P7">
        <f>COUNTIFS('All Cards'!$C$2:$C$190,"&gt;=100",'All Cards'!$C$2:$C$190,"&lt;500")</f>
        <v>19</v>
      </c>
    </row>
    <row r="8" spans="1:16" x14ac:dyDescent="0.25">
      <c r="A8" t="s">
        <v>858</v>
      </c>
      <c r="B8" s="58">
        <f>SUMIF('All Cards'!$D$2:$D$190,"manual",'All Cards'!$C$2:$C$190)</f>
        <v>1170</v>
      </c>
      <c r="O8" t="s">
        <v>852</v>
      </c>
      <c r="P8">
        <f>COUNTIFS('All Cards'!$C$2:$C$190,"&gt;=500",'All Cards'!$C$2:$C$190,"&lt;9999999")</f>
        <v>1</v>
      </c>
    </row>
    <row r="20" spans="1:17" x14ac:dyDescent="0.25">
      <c r="A20" s="57" t="s">
        <v>875</v>
      </c>
      <c r="B20" s="57" t="s">
        <v>854</v>
      </c>
      <c r="O20" s="57" t="s">
        <v>10</v>
      </c>
      <c r="P20" s="57" t="s">
        <v>854</v>
      </c>
    </row>
    <row r="21" spans="1:17" x14ac:dyDescent="0.25">
      <c r="A21" t="s">
        <v>229</v>
      </c>
      <c r="B21" s="58">
        <f>'All Cards'!C162</f>
        <v>5.64</v>
      </c>
      <c r="O21" t="s">
        <v>876</v>
      </c>
      <c r="P21" s="58">
        <f>SUMIF('All Cards'!$K$2:$K$190,Q21,'All Cards'!$C$2:$C$190)</f>
        <v>1874.2800000000007</v>
      </c>
      <c r="Q21" s="59" t="s">
        <v>214</v>
      </c>
    </row>
    <row r="22" spans="1:17" x14ac:dyDescent="0.25">
      <c r="A22" t="s">
        <v>110</v>
      </c>
      <c r="B22" s="58">
        <f>'All Cards'!C135</f>
        <v>10</v>
      </c>
      <c r="O22" t="s">
        <v>876</v>
      </c>
      <c r="P22" s="58">
        <f>SUMIF('All Cards'!$K$2:$K$190,Q22,'All Cards'!$C$2:$C$190)</f>
        <v>1109.9199999999998</v>
      </c>
      <c r="Q22" s="59" t="s">
        <v>679</v>
      </c>
    </row>
    <row r="23" spans="1:17" x14ac:dyDescent="0.25">
      <c r="A23" t="s">
        <v>229</v>
      </c>
      <c r="B23" s="58">
        <f>'All Cards'!C186</f>
        <v>2.11</v>
      </c>
      <c r="O23" t="s">
        <v>877</v>
      </c>
      <c r="P23" s="58">
        <f>SUMIF('All Cards'!$K$2:$K$190,Q23,'All Cards'!$C$2:$C$190)</f>
        <v>1021.7700000000002</v>
      </c>
      <c r="Q23" s="59" t="s">
        <v>195</v>
      </c>
    </row>
    <row r="24" spans="1:17" x14ac:dyDescent="0.25">
      <c r="A24" t="s">
        <v>229</v>
      </c>
      <c r="B24" s="58">
        <f>'All Cards'!C164</f>
        <v>5.34</v>
      </c>
      <c r="O24" t="s">
        <v>878</v>
      </c>
      <c r="P24" s="58">
        <f>SUMIF('All Cards'!$K$2:$K$190,Q24,'All Cards'!$C$2:$C$190)</f>
        <v>776.87</v>
      </c>
      <c r="Q24" s="59" t="s">
        <v>312</v>
      </c>
    </row>
    <row r="25" spans="1:17" x14ac:dyDescent="0.25">
      <c r="A25" t="s">
        <v>110</v>
      </c>
      <c r="B25" s="58">
        <f>'All Cards'!C143</f>
        <v>8.0399999999999991</v>
      </c>
      <c r="O25" t="s">
        <v>879</v>
      </c>
      <c r="P25" s="58">
        <f>SUMIF('All Cards'!$K$2:$K$190,Q25,'All Cards'!$C$2:$C$190)</f>
        <v>598.39999999999986</v>
      </c>
      <c r="Q25" s="59" t="s">
        <v>523</v>
      </c>
    </row>
    <row r="26" spans="1:17" x14ac:dyDescent="0.25">
      <c r="A26" t="s">
        <v>110</v>
      </c>
      <c r="B26" s="58">
        <f>'All Cards'!C119</f>
        <v>13.19</v>
      </c>
      <c r="O26" t="s">
        <v>880</v>
      </c>
      <c r="P26" s="58">
        <f>SUMIF('All Cards'!$K$2:$K$190,Q26,'All Cards'!$C$2:$C$190)</f>
        <v>525.21</v>
      </c>
      <c r="Q26" s="59" t="s">
        <v>735</v>
      </c>
    </row>
    <row r="27" spans="1:17" x14ac:dyDescent="0.25">
      <c r="A27" t="s">
        <v>110</v>
      </c>
      <c r="B27" s="58">
        <f>'All Cards'!C32</f>
        <v>59.49</v>
      </c>
      <c r="O27" t="s">
        <v>881</v>
      </c>
      <c r="P27" s="58">
        <f>SUMIF('All Cards'!$K$2:$K$190,Q27,'All Cards'!$C$2:$C$190)</f>
        <v>416.12</v>
      </c>
      <c r="Q27" s="59" t="s">
        <v>510</v>
      </c>
    </row>
    <row r="28" spans="1:17" x14ac:dyDescent="0.25">
      <c r="A28" t="s">
        <v>110</v>
      </c>
      <c r="B28" s="58">
        <f>'All Cards'!C110</f>
        <v>14.61</v>
      </c>
      <c r="O28" t="s">
        <v>877</v>
      </c>
      <c r="P28" s="58">
        <f>SUMIF('All Cards'!$K$2:$K$190,Q28,'All Cards'!$C$2:$C$190)</f>
        <v>292.07</v>
      </c>
      <c r="Q28" s="59" t="s">
        <v>104</v>
      </c>
    </row>
    <row r="29" spans="1:17" x14ac:dyDescent="0.25">
      <c r="A29" t="s">
        <v>619</v>
      </c>
      <c r="B29" s="58">
        <f>'All Cards'!C136</f>
        <v>10</v>
      </c>
      <c r="O29" t="s">
        <v>879</v>
      </c>
      <c r="P29" s="58">
        <f>SUMIF('All Cards'!$K$2:$K$190,Q29,'All Cards'!$C$2:$C$190)</f>
        <v>120</v>
      </c>
      <c r="Q29" s="59" t="s">
        <v>378</v>
      </c>
    </row>
    <row r="30" spans="1:17" x14ac:dyDescent="0.25">
      <c r="A30" t="s">
        <v>295</v>
      </c>
      <c r="B30" s="58">
        <f>'All Cards'!C138</f>
        <v>9.64</v>
      </c>
      <c r="O30" t="s">
        <v>880</v>
      </c>
      <c r="P30" s="58">
        <f>SUMIF('All Cards'!$K$2:$K$190,Q30,'All Cards'!$C$2:$C$190)</f>
        <v>136.44999999999999</v>
      </c>
      <c r="Q30" s="59" t="s">
        <v>48</v>
      </c>
    </row>
  </sheetData>
  <mergeCells count="1">
    <mergeCell ref="A1:P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8"/>
  <sheetViews>
    <sheetView showGridLines="0" workbookViewId="0"/>
  </sheetViews>
  <sheetFormatPr defaultRowHeight="15" x14ac:dyDescent="0.25"/>
  <cols>
    <col min="1" max="1" width="70" customWidth="1"/>
    <col min="2" max="2" width="18" customWidth="1"/>
    <col min="3" max="3" width="13" customWidth="1"/>
  </cols>
  <sheetData>
    <row r="1" spans="1:3" ht="20.100000000000001" customHeight="1" x14ac:dyDescent="0.25">
      <c r="A1" s="82" t="s">
        <v>848</v>
      </c>
      <c r="B1" s="69"/>
      <c r="C1" s="69"/>
    </row>
    <row r="2" spans="1:3" x14ac:dyDescent="0.25">
      <c r="A2" s="60" t="s">
        <v>882</v>
      </c>
      <c r="B2" s="61">
        <f>COUNTIFS('All Cards'!$C$2:$C$190,"&gt;=0",'All Cards'!$C$2:$C$190,"&lt;5")</f>
        <v>21</v>
      </c>
      <c r="C2" s="62">
        <f>SUMIFS('All Cards'!$C$2:$C$190,'All Cards'!$C$2:$C$190,"&gt;=0",'All Cards'!$C$2:$C$190,"&lt;5")</f>
        <v>64.289999999999992</v>
      </c>
    </row>
    <row r="3" spans="1:3" x14ac:dyDescent="0.25">
      <c r="A3" s="38" t="s">
        <v>1</v>
      </c>
      <c r="B3" s="38" t="s">
        <v>883</v>
      </c>
      <c r="C3" s="38" t="s">
        <v>3</v>
      </c>
    </row>
    <row r="4" spans="1:3" x14ac:dyDescent="0.25">
      <c r="A4" s="5" t="s">
        <v>42</v>
      </c>
      <c r="B4" s="41">
        <f>'All Cards'!C8</f>
        <v>273.77</v>
      </c>
      <c r="C4" s="4" t="s">
        <v>22</v>
      </c>
    </row>
    <row r="5" spans="1:3" x14ac:dyDescent="0.25">
      <c r="A5" s="11" t="s">
        <v>596</v>
      </c>
      <c r="B5" s="40">
        <f>'All Cards'!C131</f>
        <v>10.57</v>
      </c>
      <c r="C5" s="10" t="s">
        <v>12</v>
      </c>
    </row>
    <row r="6" spans="1:3" x14ac:dyDescent="0.25">
      <c r="A6" s="5" t="s">
        <v>434</v>
      </c>
      <c r="B6" s="41">
        <f>'All Cards'!C90</f>
        <v>17.440000000000001</v>
      </c>
      <c r="C6" s="4" t="s">
        <v>12</v>
      </c>
    </row>
    <row r="7" spans="1:3" x14ac:dyDescent="0.25">
      <c r="A7" s="11" t="s">
        <v>787</v>
      </c>
      <c r="B7" s="40">
        <f>'All Cards'!C177</f>
        <v>3.99</v>
      </c>
      <c r="C7" s="10" t="s">
        <v>22</v>
      </c>
    </row>
    <row r="8" spans="1:3" x14ac:dyDescent="0.25">
      <c r="A8" s="5" t="s">
        <v>257</v>
      </c>
      <c r="B8" s="41">
        <f>'All Cards'!C48</f>
        <v>39.03</v>
      </c>
      <c r="C8" s="4" t="s">
        <v>22</v>
      </c>
    </row>
    <row r="9" spans="1:3" x14ac:dyDescent="0.25">
      <c r="A9" s="11" t="s">
        <v>576</v>
      </c>
      <c r="B9" s="40">
        <f>'All Cards'!C126</f>
        <v>11.67</v>
      </c>
      <c r="C9" s="10" t="s">
        <v>22</v>
      </c>
    </row>
    <row r="10" spans="1:3" x14ac:dyDescent="0.25">
      <c r="A10" s="5" t="s">
        <v>262</v>
      </c>
      <c r="B10" s="41">
        <f>'All Cards'!C49</f>
        <v>38.700000000000003</v>
      </c>
      <c r="C10" s="4" t="s">
        <v>22</v>
      </c>
    </row>
    <row r="11" spans="1:3" x14ac:dyDescent="0.25">
      <c r="A11" s="11" t="s">
        <v>190</v>
      </c>
      <c r="B11" s="40">
        <f>'All Cards'!C35</f>
        <v>55.88</v>
      </c>
      <c r="C11" s="10" t="s">
        <v>22</v>
      </c>
    </row>
    <row r="12" spans="1:3" x14ac:dyDescent="0.25">
      <c r="A12" s="5" t="s">
        <v>504</v>
      </c>
      <c r="B12" s="41">
        <f>'All Cards'!C106</f>
        <v>15.06</v>
      </c>
      <c r="C12" s="4" t="s">
        <v>77</v>
      </c>
    </row>
    <row r="13" spans="1:3" x14ac:dyDescent="0.25">
      <c r="A13" s="11" t="s">
        <v>384</v>
      </c>
      <c r="B13" s="40">
        <f>'All Cards'!C76</f>
        <v>19.84</v>
      </c>
      <c r="C13" s="10" t="s">
        <v>22</v>
      </c>
    </row>
    <row r="14" spans="1:3" x14ac:dyDescent="0.25">
      <c r="A14" s="5" t="s">
        <v>35</v>
      </c>
      <c r="B14" s="41">
        <f>'All Cards'!C6</f>
        <v>313.3</v>
      </c>
      <c r="C14" s="4" t="s">
        <v>22</v>
      </c>
    </row>
    <row r="15" spans="1:3" x14ac:dyDescent="0.25">
      <c r="A15" s="11" t="s">
        <v>653</v>
      </c>
      <c r="B15" s="40">
        <f>'All Cards'!C145</f>
        <v>7.99</v>
      </c>
      <c r="C15" s="10" t="s">
        <v>12</v>
      </c>
    </row>
    <row r="16" spans="1:3" x14ac:dyDescent="0.25">
      <c r="A16" s="5" t="s">
        <v>267</v>
      </c>
      <c r="B16" s="41">
        <f>'All Cards'!C50</f>
        <v>37.28</v>
      </c>
      <c r="C16" s="4" t="s">
        <v>22</v>
      </c>
    </row>
    <row r="17" spans="1:3" x14ac:dyDescent="0.25">
      <c r="A17" s="11" t="s">
        <v>402</v>
      </c>
      <c r="B17" s="40">
        <f>'All Cards'!C81</f>
        <v>19.260000000000002</v>
      </c>
      <c r="C17" s="10" t="s">
        <v>12</v>
      </c>
    </row>
    <row r="18" spans="1:3" x14ac:dyDescent="0.25">
      <c r="A18" s="5" t="s">
        <v>706</v>
      </c>
      <c r="B18" s="41">
        <f>'All Cards'!C159</f>
        <v>6.11</v>
      </c>
      <c r="C18" s="4" t="s">
        <v>22</v>
      </c>
    </row>
    <row r="19" spans="1:3" x14ac:dyDescent="0.25">
      <c r="A19" s="11" t="s">
        <v>99</v>
      </c>
      <c r="B19" s="40">
        <f>'All Cards'!C19</f>
        <v>124.13</v>
      </c>
      <c r="C19" s="10" t="s">
        <v>22</v>
      </c>
    </row>
    <row r="20" spans="1:3" x14ac:dyDescent="0.25">
      <c r="A20" s="5" t="s">
        <v>300</v>
      </c>
      <c r="B20" s="41">
        <f>'All Cards'!C58</f>
        <v>28.98</v>
      </c>
      <c r="C20" s="4" t="s">
        <v>77</v>
      </c>
    </row>
    <row r="21" spans="1:3" x14ac:dyDescent="0.25">
      <c r="A21" s="11" t="s">
        <v>414</v>
      </c>
      <c r="B21" s="40">
        <f>'All Cards'!C84</f>
        <v>18.52</v>
      </c>
      <c r="C21" s="10" t="s">
        <v>123</v>
      </c>
    </row>
    <row r="22" spans="1:3" x14ac:dyDescent="0.25">
      <c r="A22" s="5" t="s">
        <v>417</v>
      </c>
      <c r="B22" s="41">
        <f>'All Cards'!C85</f>
        <v>18.21</v>
      </c>
      <c r="C22" s="4" t="s">
        <v>123</v>
      </c>
    </row>
    <row r="24" spans="1:3" ht="20.100000000000001" customHeight="1" x14ac:dyDescent="0.25">
      <c r="A24" s="84" t="s">
        <v>849</v>
      </c>
      <c r="B24" s="69"/>
      <c r="C24" s="69"/>
    </row>
    <row r="25" spans="1:3" x14ac:dyDescent="0.25">
      <c r="A25" s="60" t="s">
        <v>882</v>
      </c>
      <c r="B25" s="61">
        <f>COUNTIFS('All Cards'!$C$2:$C$190,"&gt;=5",'All Cards'!$C$2:$C$190,"&lt;25")</f>
        <v>109</v>
      </c>
      <c r="C25" s="62">
        <f>SUMIFS('All Cards'!$C$2:$C$190,'All Cards'!$C$2:$C$190,"&gt;=5",'All Cards'!$C$2:$C$190,"&lt;25")</f>
        <v>1463.1999999999996</v>
      </c>
    </row>
    <row r="26" spans="1:3" x14ac:dyDescent="0.25">
      <c r="A26" s="38" t="s">
        <v>1</v>
      </c>
      <c r="B26" s="38" t="s">
        <v>883</v>
      </c>
      <c r="C26" s="38" t="s">
        <v>3</v>
      </c>
    </row>
    <row r="27" spans="1:3" x14ac:dyDescent="0.25">
      <c r="A27" s="11" t="s">
        <v>138</v>
      </c>
      <c r="B27" s="40">
        <f>'All Cards'!C26</f>
        <v>3</v>
      </c>
      <c r="C27" s="10" t="s">
        <v>22</v>
      </c>
    </row>
    <row r="28" spans="1:3" x14ac:dyDescent="0.25">
      <c r="A28" s="5" t="s">
        <v>475</v>
      </c>
      <c r="B28" s="41">
        <f>'All Cards'!C99</f>
        <v>16.18</v>
      </c>
      <c r="C28" s="4" t="s">
        <v>22</v>
      </c>
    </row>
    <row r="29" spans="1:3" x14ac:dyDescent="0.25">
      <c r="A29" s="11" t="s">
        <v>592</v>
      </c>
      <c r="B29" s="40">
        <f>'All Cards'!C130</f>
        <v>10.6</v>
      </c>
      <c r="C29" s="10" t="s">
        <v>12</v>
      </c>
    </row>
    <row r="30" spans="1:3" x14ac:dyDescent="0.25">
      <c r="A30" s="5" t="s">
        <v>230</v>
      </c>
      <c r="B30" s="41">
        <f>'All Cards'!C43</f>
        <v>50</v>
      </c>
      <c r="C30" s="4" t="s">
        <v>22</v>
      </c>
    </row>
    <row r="31" spans="1:3" x14ac:dyDescent="0.25">
      <c r="A31" s="11" t="s">
        <v>21</v>
      </c>
      <c r="B31" s="40">
        <f>'All Cards'!C4</f>
        <v>368</v>
      </c>
      <c r="C31" s="10" t="s">
        <v>22</v>
      </c>
    </row>
    <row r="32" spans="1:3" x14ac:dyDescent="0.25">
      <c r="A32" s="5" t="s">
        <v>95</v>
      </c>
      <c r="B32" s="41">
        <f>'All Cards'!C18</f>
        <v>124.13</v>
      </c>
      <c r="C32" s="4" t="s">
        <v>22</v>
      </c>
    </row>
    <row r="33" spans="1:3" x14ac:dyDescent="0.25">
      <c r="A33" s="11" t="s">
        <v>491</v>
      </c>
      <c r="B33" s="40">
        <f>'All Cards'!C103</f>
        <v>15.98</v>
      </c>
      <c r="C33" s="10" t="s">
        <v>22</v>
      </c>
    </row>
    <row r="34" spans="1:3" x14ac:dyDescent="0.25">
      <c r="A34" s="5" t="s">
        <v>566</v>
      </c>
      <c r="B34" s="41">
        <f>'All Cards'!C124</f>
        <v>12.25</v>
      </c>
      <c r="C34" s="4" t="s">
        <v>22</v>
      </c>
    </row>
    <row r="35" spans="1:3" x14ac:dyDescent="0.25">
      <c r="A35" s="11" t="s">
        <v>758</v>
      </c>
      <c r="B35" s="40">
        <f>'All Cards'!C171</f>
        <v>4.91</v>
      </c>
      <c r="C35" s="10" t="s">
        <v>22</v>
      </c>
    </row>
    <row r="36" spans="1:3" x14ac:dyDescent="0.25">
      <c r="A36" s="5" t="s">
        <v>688</v>
      </c>
      <c r="B36" s="41">
        <f>'All Cards'!C154</f>
        <v>6.57</v>
      </c>
      <c r="C36" s="4" t="s">
        <v>12</v>
      </c>
    </row>
    <row r="37" spans="1:3" x14ac:dyDescent="0.25">
      <c r="A37" s="11" t="s">
        <v>179</v>
      </c>
      <c r="B37" s="40">
        <f>'All Cards'!C33</f>
        <v>58</v>
      </c>
      <c r="C37" s="10" t="s">
        <v>12</v>
      </c>
    </row>
    <row r="38" spans="1:3" x14ac:dyDescent="0.25">
      <c r="A38" s="5" t="s">
        <v>340</v>
      </c>
      <c r="B38" s="41">
        <f>'All Cards'!C67</f>
        <v>22.48</v>
      </c>
      <c r="C38" s="4" t="s">
        <v>22</v>
      </c>
    </row>
    <row r="39" spans="1:3" x14ac:dyDescent="0.25">
      <c r="A39" s="11" t="s">
        <v>669</v>
      </c>
      <c r="B39" s="40">
        <f>'All Cards'!C148</f>
        <v>7.28</v>
      </c>
      <c r="C39" s="10" t="s">
        <v>22</v>
      </c>
    </row>
    <row r="40" spans="1:3" x14ac:dyDescent="0.25">
      <c r="A40" s="5" t="s">
        <v>639</v>
      </c>
      <c r="B40" s="41">
        <f>'All Cards'!C142</f>
        <v>8.31</v>
      </c>
      <c r="C40" s="4" t="s">
        <v>22</v>
      </c>
    </row>
    <row r="41" spans="1:3" x14ac:dyDescent="0.25">
      <c r="A41" s="11" t="s">
        <v>741</v>
      </c>
      <c r="B41" s="40">
        <f>'All Cards'!C168</f>
        <v>5</v>
      </c>
      <c r="C41" s="10" t="s">
        <v>22</v>
      </c>
    </row>
    <row r="42" spans="1:3" x14ac:dyDescent="0.25">
      <c r="A42" s="5" t="s">
        <v>379</v>
      </c>
      <c r="B42" s="41">
        <f>'All Cards'!C75</f>
        <v>20.149999999999999</v>
      </c>
      <c r="C42" s="4" t="s">
        <v>22</v>
      </c>
    </row>
    <row r="43" spans="1:3" x14ac:dyDescent="0.25">
      <c r="A43" s="11" t="s">
        <v>709</v>
      </c>
      <c r="B43" s="40">
        <f>'All Cards'!C160</f>
        <v>6.01</v>
      </c>
      <c r="C43" s="10" t="s">
        <v>22</v>
      </c>
    </row>
    <row r="44" spans="1:3" x14ac:dyDescent="0.25">
      <c r="A44" s="5" t="s">
        <v>235</v>
      </c>
      <c r="B44" s="41">
        <f>'All Cards'!C44</f>
        <v>46.01</v>
      </c>
      <c r="C44" s="4" t="s">
        <v>22</v>
      </c>
    </row>
    <row r="45" spans="1:3" x14ac:dyDescent="0.25">
      <c r="A45" s="11" t="s">
        <v>284</v>
      </c>
      <c r="B45" s="40">
        <f>'All Cards'!C54</f>
        <v>30.49</v>
      </c>
      <c r="C45" s="10" t="s">
        <v>12</v>
      </c>
    </row>
    <row r="46" spans="1:3" x14ac:dyDescent="0.25">
      <c r="A46" s="5" t="s">
        <v>736</v>
      </c>
      <c r="B46" s="41">
        <f>'All Cards'!C167</f>
        <v>5</v>
      </c>
      <c r="C46" s="4" t="s">
        <v>22</v>
      </c>
    </row>
    <row r="47" spans="1:3" x14ac:dyDescent="0.25">
      <c r="A47" s="11" t="s">
        <v>201</v>
      </c>
      <c r="B47" s="40">
        <f>'All Cards'!C37</f>
        <v>55.57</v>
      </c>
      <c r="C47" s="10" t="s">
        <v>22</v>
      </c>
    </row>
    <row r="48" spans="1:3" x14ac:dyDescent="0.25">
      <c r="A48" s="5" t="s">
        <v>355</v>
      </c>
      <c r="B48" s="41">
        <f>'All Cards'!C70</f>
        <v>21.74</v>
      </c>
      <c r="C48" s="4" t="s">
        <v>22</v>
      </c>
    </row>
    <row r="49" spans="1:3" x14ac:dyDescent="0.25">
      <c r="A49" s="11" t="s">
        <v>524</v>
      </c>
      <c r="B49" s="40">
        <f>'All Cards'!C112</f>
        <v>14.6</v>
      </c>
      <c r="C49" s="10" t="s">
        <v>22</v>
      </c>
    </row>
    <row r="50" spans="1:3" x14ac:dyDescent="0.25">
      <c r="A50" s="5" t="s">
        <v>554</v>
      </c>
      <c r="B50" s="41">
        <f>'All Cards'!C121</f>
        <v>12.92</v>
      </c>
      <c r="C50" s="4" t="s">
        <v>12</v>
      </c>
    </row>
    <row r="51" spans="1:3" x14ac:dyDescent="0.25">
      <c r="A51" s="11" t="s">
        <v>581</v>
      </c>
      <c r="B51" s="40">
        <f>'All Cards'!C127</f>
        <v>11.46</v>
      </c>
      <c r="C51" s="10" t="s">
        <v>22</v>
      </c>
    </row>
    <row r="52" spans="1:3" x14ac:dyDescent="0.25">
      <c r="A52" s="5" t="s">
        <v>280</v>
      </c>
      <c r="B52" s="41">
        <f>'All Cards'!C53</f>
        <v>31.43</v>
      </c>
      <c r="C52" s="4" t="s">
        <v>22</v>
      </c>
    </row>
    <row r="53" spans="1:3" x14ac:dyDescent="0.25">
      <c r="A53" s="11" t="s">
        <v>246</v>
      </c>
      <c r="B53" s="40">
        <f>'All Cards'!C46</f>
        <v>39.85</v>
      </c>
      <c r="C53" s="10" t="s">
        <v>22</v>
      </c>
    </row>
    <row r="54" spans="1:3" x14ac:dyDescent="0.25">
      <c r="A54" s="5" t="s">
        <v>345</v>
      </c>
      <c r="B54" s="41">
        <f>'All Cards'!C68</f>
        <v>22.41</v>
      </c>
      <c r="C54" s="4" t="s">
        <v>22</v>
      </c>
    </row>
    <row r="55" spans="1:3" x14ac:dyDescent="0.25">
      <c r="A55" s="11" t="s">
        <v>88</v>
      </c>
      <c r="B55" s="40">
        <f>'All Cards'!C17</f>
        <v>30</v>
      </c>
      <c r="C55" s="10" t="s">
        <v>22</v>
      </c>
    </row>
    <row r="56" spans="1:3" x14ac:dyDescent="0.25">
      <c r="A56" s="5" t="s">
        <v>730</v>
      </c>
      <c r="B56" s="41">
        <f>'All Cards'!C166</f>
        <v>5.03</v>
      </c>
      <c r="C56" s="4" t="s">
        <v>22</v>
      </c>
    </row>
    <row r="57" spans="1:3" x14ac:dyDescent="0.25">
      <c r="A57" s="11" t="s">
        <v>584</v>
      </c>
      <c r="B57" s="40">
        <f>'All Cards'!C128</f>
        <v>11.46</v>
      </c>
      <c r="C57" s="10" t="s">
        <v>22</v>
      </c>
    </row>
    <row r="58" spans="1:3" x14ac:dyDescent="0.25">
      <c r="A58" s="5" t="s">
        <v>360</v>
      </c>
      <c r="B58" s="41">
        <f>'All Cards'!C71</f>
        <v>21.24</v>
      </c>
      <c r="C58" s="4" t="s">
        <v>22</v>
      </c>
    </row>
    <row r="59" spans="1:3" x14ac:dyDescent="0.25">
      <c r="A59" s="11" t="s">
        <v>419</v>
      </c>
      <c r="B59" s="40">
        <f>'All Cards'!C86</f>
        <v>18.100000000000001</v>
      </c>
      <c r="C59" s="10" t="s">
        <v>22</v>
      </c>
    </row>
    <row r="60" spans="1:3" x14ac:dyDescent="0.25">
      <c r="A60" s="5" t="s">
        <v>407</v>
      </c>
      <c r="B60" s="41">
        <f>'All Cards'!C82</f>
        <v>19.13</v>
      </c>
      <c r="C60" s="4" t="s">
        <v>50</v>
      </c>
    </row>
    <row r="61" spans="1:3" x14ac:dyDescent="0.25">
      <c r="A61" s="11" t="s">
        <v>313</v>
      </c>
      <c r="B61" s="40">
        <f>'All Cards'!C61</f>
        <v>25.52</v>
      </c>
      <c r="C61" s="10" t="s">
        <v>22</v>
      </c>
    </row>
    <row r="62" spans="1:3" x14ac:dyDescent="0.25">
      <c r="A62" s="5" t="s">
        <v>764</v>
      </c>
      <c r="B62" s="41">
        <f>'All Cards'!C172</f>
        <v>4.8600000000000003</v>
      </c>
      <c r="C62" s="4" t="s">
        <v>22</v>
      </c>
    </row>
    <row r="63" spans="1:3" x14ac:dyDescent="0.25">
      <c r="A63" s="11" t="s">
        <v>561</v>
      </c>
      <c r="B63" s="40">
        <f>'All Cards'!C123</f>
        <v>12.6</v>
      </c>
      <c r="C63" s="10" t="s">
        <v>22</v>
      </c>
    </row>
    <row r="64" spans="1:3" x14ac:dyDescent="0.25">
      <c r="A64" s="5" t="s">
        <v>508</v>
      </c>
      <c r="B64" s="41">
        <f>'All Cards'!C108</f>
        <v>14.71</v>
      </c>
      <c r="C64" s="4" t="s">
        <v>22</v>
      </c>
    </row>
    <row r="65" spans="1:3" x14ac:dyDescent="0.25">
      <c r="A65" s="11" t="s">
        <v>460</v>
      </c>
      <c r="B65" s="40">
        <f>'All Cards'!C96</f>
        <v>16.78</v>
      </c>
      <c r="C65" s="10" t="s">
        <v>22</v>
      </c>
    </row>
    <row r="66" spans="1:3" x14ac:dyDescent="0.25">
      <c r="A66" s="5" t="s">
        <v>747</v>
      </c>
      <c r="B66" s="41">
        <f>'All Cards'!C169</f>
        <v>5</v>
      </c>
      <c r="C66" s="4" t="s">
        <v>22</v>
      </c>
    </row>
    <row r="67" spans="1:3" x14ac:dyDescent="0.25">
      <c r="A67" s="11" t="s">
        <v>456</v>
      </c>
      <c r="B67" s="40">
        <f>'All Cards'!C94</f>
        <v>16.809999999999999</v>
      </c>
      <c r="C67" s="10" t="s">
        <v>22</v>
      </c>
    </row>
    <row r="68" spans="1:3" x14ac:dyDescent="0.25">
      <c r="A68" s="5" t="s">
        <v>458</v>
      </c>
      <c r="B68" s="41">
        <f>'All Cards'!C95</f>
        <v>16.8</v>
      </c>
      <c r="C68" s="4" t="s">
        <v>22</v>
      </c>
    </row>
    <row r="69" spans="1:3" x14ac:dyDescent="0.25">
      <c r="A69" s="11" t="s">
        <v>713</v>
      </c>
      <c r="B69" s="40">
        <f>'All Cards'!C161</f>
        <v>5.85</v>
      </c>
      <c r="C69" s="10" t="s">
        <v>22</v>
      </c>
    </row>
    <row r="70" spans="1:3" x14ac:dyDescent="0.25">
      <c r="A70" s="5" t="s">
        <v>520</v>
      </c>
      <c r="B70" s="41">
        <f>'All Cards'!C111</f>
        <v>14.6</v>
      </c>
      <c r="C70" s="4" t="s">
        <v>22</v>
      </c>
    </row>
    <row r="71" spans="1:3" x14ac:dyDescent="0.25">
      <c r="A71" s="11" t="s">
        <v>529</v>
      </c>
      <c r="B71" s="40">
        <f>'All Cards'!C113</f>
        <v>14.6</v>
      </c>
      <c r="C71" s="10" t="s">
        <v>22</v>
      </c>
    </row>
    <row r="72" spans="1:3" x14ac:dyDescent="0.25">
      <c r="A72" s="5" t="s">
        <v>635</v>
      </c>
      <c r="B72" s="41">
        <f>'All Cards'!C141</f>
        <v>8.49</v>
      </c>
      <c r="C72" s="4" t="s">
        <v>22</v>
      </c>
    </row>
    <row r="73" spans="1:3" x14ac:dyDescent="0.25">
      <c r="A73" s="11" t="s">
        <v>680</v>
      </c>
      <c r="B73" s="40">
        <f>'All Cards'!C152</f>
        <v>6.81</v>
      </c>
      <c r="C73" s="10" t="s">
        <v>12</v>
      </c>
    </row>
    <row r="74" spans="1:3" x14ac:dyDescent="0.25">
      <c r="A74" s="5" t="s">
        <v>325</v>
      </c>
      <c r="B74" s="41">
        <f>'All Cards'!C64</f>
        <v>24.48</v>
      </c>
      <c r="C74" s="4" t="s">
        <v>22</v>
      </c>
    </row>
    <row r="75" spans="1:3" x14ac:dyDescent="0.25">
      <c r="A75" s="11" t="s">
        <v>685</v>
      </c>
      <c r="B75" s="40">
        <f>'All Cards'!C153</f>
        <v>6.76</v>
      </c>
      <c r="C75" s="10" t="s">
        <v>22</v>
      </c>
    </row>
    <row r="76" spans="1:3" x14ac:dyDescent="0.25">
      <c r="A76" s="5" t="s">
        <v>240</v>
      </c>
      <c r="B76" s="41">
        <f>'All Cards'!C45</f>
        <v>45.48</v>
      </c>
      <c r="C76" s="4" t="s">
        <v>22</v>
      </c>
    </row>
    <row r="77" spans="1:3" x14ac:dyDescent="0.25">
      <c r="A77" s="11" t="s">
        <v>322</v>
      </c>
      <c r="B77" s="40">
        <f>'All Cards'!C63</f>
        <v>24.74</v>
      </c>
      <c r="C77" s="10" t="s">
        <v>22</v>
      </c>
    </row>
    <row r="78" spans="1:3" x14ac:dyDescent="0.25">
      <c r="A78" s="5" t="s">
        <v>331</v>
      </c>
      <c r="B78" s="41">
        <f>'All Cards'!C65</f>
        <v>24.21</v>
      </c>
      <c r="C78" s="4" t="s">
        <v>22</v>
      </c>
    </row>
    <row r="79" spans="1:3" x14ac:dyDescent="0.25">
      <c r="A79" s="11" t="s">
        <v>557</v>
      </c>
      <c r="B79" s="40">
        <f>'All Cards'!C122</f>
        <v>12.8</v>
      </c>
      <c r="C79" s="10" t="s">
        <v>12</v>
      </c>
    </row>
    <row r="80" spans="1:3" x14ac:dyDescent="0.25">
      <c r="A80" s="5" t="s">
        <v>398</v>
      </c>
      <c r="B80" s="41">
        <f>'All Cards'!C80</f>
        <v>19.47</v>
      </c>
      <c r="C80" s="4" t="s">
        <v>22</v>
      </c>
    </row>
    <row r="81" spans="1:3" x14ac:dyDescent="0.25">
      <c r="A81" s="11" t="s">
        <v>134</v>
      </c>
      <c r="B81" s="40">
        <f>'All Cards'!C25</f>
        <v>99</v>
      </c>
      <c r="C81" s="10" t="s">
        <v>22</v>
      </c>
    </row>
    <row r="82" spans="1:3" x14ac:dyDescent="0.25">
      <c r="A82" s="5" t="s">
        <v>302</v>
      </c>
      <c r="B82" s="41">
        <f>'All Cards'!C59</f>
        <v>28.15</v>
      </c>
      <c r="C82" s="4" t="s">
        <v>12</v>
      </c>
    </row>
    <row r="83" spans="1:3" x14ac:dyDescent="0.25">
      <c r="A83" s="11" t="s">
        <v>272</v>
      </c>
      <c r="B83" s="40">
        <f>'All Cards'!C51</f>
        <v>36.049999999999997</v>
      </c>
      <c r="C83" s="10" t="s">
        <v>22</v>
      </c>
    </row>
    <row r="84" spans="1:3" x14ac:dyDescent="0.25">
      <c r="A84" s="5" t="s">
        <v>672</v>
      </c>
      <c r="B84" s="41">
        <f>'All Cards'!C149</f>
        <v>7.15</v>
      </c>
      <c r="C84" s="4" t="s">
        <v>123</v>
      </c>
    </row>
    <row r="85" spans="1:3" x14ac:dyDescent="0.25">
      <c r="A85" s="11" t="s">
        <v>501</v>
      </c>
      <c r="B85" s="40">
        <f>'All Cards'!C105</f>
        <v>15.24</v>
      </c>
      <c r="C85" s="10" t="s">
        <v>12</v>
      </c>
    </row>
    <row r="86" spans="1:3" x14ac:dyDescent="0.25">
      <c r="A86" s="5" t="s">
        <v>450</v>
      </c>
      <c r="B86" s="41">
        <f>'All Cards'!C93</f>
        <v>17.02</v>
      </c>
      <c r="C86" s="4" t="s">
        <v>22</v>
      </c>
    </row>
    <row r="87" spans="1:3" x14ac:dyDescent="0.25">
      <c r="A87" s="11" t="s">
        <v>570</v>
      </c>
      <c r="B87" s="40">
        <f>'All Cards'!C125</f>
        <v>12.06</v>
      </c>
      <c r="C87" s="10" t="s">
        <v>22</v>
      </c>
    </row>
    <row r="88" spans="1:3" x14ac:dyDescent="0.25">
      <c r="A88" s="5" t="s">
        <v>317</v>
      </c>
      <c r="B88" s="41">
        <f>'All Cards'!C62</f>
        <v>25</v>
      </c>
      <c r="C88" s="4" t="s">
        <v>22</v>
      </c>
    </row>
    <row r="89" spans="1:3" x14ac:dyDescent="0.25">
      <c r="A89" s="11" t="s">
        <v>85</v>
      </c>
      <c r="B89" s="40">
        <f>'All Cards'!C16</f>
        <v>20</v>
      </c>
      <c r="C89" s="10" t="s">
        <v>50</v>
      </c>
    </row>
    <row r="90" spans="1:3" x14ac:dyDescent="0.25">
      <c r="A90" s="5" t="s">
        <v>496</v>
      </c>
      <c r="B90" s="41">
        <f>'All Cards'!C104</f>
        <v>15.92</v>
      </c>
      <c r="C90" s="4" t="s">
        <v>22</v>
      </c>
    </row>
    <row r="91" spans="1:3" x14ac:dyDescent="0.25">
      <c r="A91" s="11" t="s">
        <v>792</v>
      </c>
      <c r="B91" s="40">
        <f>'All Cards'!C178</f>
        <v>3.98</v>
      </c>
      <c r="C91" s="10" t="s">
        <v>12</v>
      </c>
    </row>
    <row r="92" spans="1:3" x14ac:dyDescent="0.25">
      <c r="A92" s="5" t="s">
        <v>677</v>
      </c>
      <c r="B92" s="41">
        <f>'All Cards'!C151</f>
        <v>6.85</v>
      </c>
      <c r="C92" s="4" t="s">
        <v>22</v>
      </c>
    </row>
    <row r="93" spans="1:3" x14ac:dyDescent="0.25">
      <c r="A93" s="11" t="s">
        <v>770</v>
      </c>
      <c r="B93" s="40">
        <f>'All Cards'!C173</f>
        <v>4.4800000000000004</v>
      </c>
      <c r="C93" s="10" t="s">
        <v>12</v>
      </c>
    </row>
    <row r="94" spans="1:3" x14ac:dyDescent="0.25">
      <c r="A94" s="5" t="s">
        <v>49</v>
      </c>
      <c r="B94" s="41">
        <f>'All Cards'!C9</f>
        <v>263.23</v>
      </c>
      <c r="C94" s="4" t="s">
        <v>50</v>
      </c>
    </row>
    <row r="95" spans="1:3" x14ac:dyDescent="0.25">
      <c r="A95" s="11" t="s">
        <v>718</v>
      </c>
      <c r="B95" s="40">
        <f>'All Cards'!C163</f>
        <v>5.47</v>
      </c>
      <c r="C95" s="10" t="s">
        <v>12</v>
      </c>
    </row>
    <row r="96" spans="1:3" x14ac:dyDescent="0.25">
      <c r="A96" s="5" t="s">
        <v>252</v>
      </c>
      <c r="B96" s="41">
        <f>'All Cards'!C47</f>
        <v>39.47</v>
      </c>
      <c r="C96" s="4" t="s">
        <v>22</v>
      </c>
    </row>
    <row r="97" spans="1:3" x14ac:dyDescent="0.25">
      <c r="A97" s="11" t="s">
        <v>168</v>
      </c>
      <c r="B97" s="40">
        <f>'All Cards'!C31</f>
        <v>59.99</v>
      </c>
      <c r="C97" s="10" t="s">
        <v>12</v>
      </c>
    </row>
    <row r="98" spans="1:3" x14ac:dyDescent="0.25">
      <c r="A98" s="5" t="s">
        <v>127</v>
      </c>
      <c r="B98" s="41">
        <f>'All Cards'!C24</f>
        <v>99.59</v>
      </c>
      <c r="C98" s="4" t="s">
        <v>22</v>
      </c>
    </row>
    <row r="99" spans="1:3" x14ac:dyDescent="0.25">
      <c r="A99" s="11" t="s">
        <v>293</v>
      </c>
      <c r="B99" s="40">
        <f>'All Cards'!C56</f>
        <v>30</v>
      </c>
      <c r="C99" s="10" t="s">
        <v>22</v>
      </c>
    </row>
    <row r="100" spans="1:3" x14ac:dyDescent="0.25">
      <c r="A100" s="5" t="s">
        <v>76</v>
      </c>
      <c r="B100" s="41">
        <f>'All Cards'!C14</f>
        <v>187.91</v>
      </c>
      <c r="C100" s="4" t="s">
        <v>77</v>
      </c>
    </row>
    <row r="101" spans="1:3" x14ac:dyDescent="0.25">
      <c r="A101" s="11" t="s">
        <v>117</v>
      </c>
      <c r="B101" s="40">
        <f>'All Cards'!C22</f>
        <v>100.15</v>
      </c>
      <c r="C101" s="10" t="s">
        <v>77</v>
      </c>
    </row>
    <row r="102" spans="1:3" x14ac:dyDescent="0.25">
      <c r="A102" s="5" t="s">
        <v>162</v>
      </c>
      <c r="B102" s="41">
        <f>'All Cards'!C30</f>
        <v>62.49</v>
      </c>
      <c r="C102" s="4" t="s">
        <v>22</v>
      </c>
    </row>
    <row r="103" spans="1:3" x14ac:dyDescent="0.25">
      <c r="A103" s="11" t="s">
        <v>68</v>
      </c>
      <c r="B103" s="40">
        <f>'All Cards'!C12</f>
        <v>200</v>
      </c>
      <c r="C103" s="10" t="s">
        <v>22</v>
      </c>
    </row>
    <row r="104" spans="1:3" x14ac:dyDescent="0.25">
      <c r="A104" s="5" t="s">
        <v>17</v>
      </c>
      <c r="B104" s="41">
        <f>'All Cards'!C3</f>
        <v>479.4</v>
      </c>
      <c r="C104" s="4" t="s">
        <v>12</v>
      </c>
    </row>
    <row r="105" spans="1:3" x14ac:dyDescent="0.25">
      <c r="A105" s="11" t="s">
        <v>28</v>
      </c>
      <c r="B105" s="40">
        <f>'All Cards'!C5</f>
        <v>317.45</v>
      </c>
      <c r="C105" s="10" t="s">
        <v>22</v>
      </c>
    </row>
    <row r="106" spans="1:3" x14ac:dyDescent="0.25">
      <c r="A106" s="5" t="s">
        <v>38</v>
      </c>
      <c r="B106" s="41">
        <f>'All Cards'!C7</f>
        <v>300</v>
      </c>
      <c r="C106" s="4" t="s">
        <v>22</v>
      </c>
    </row>
    <row r="107" spans="1:3" x14ac:dyDescent="0.25">
      <c r="A107" s="11" t="s">
        <v>425</v>
      </c>
      <c r="B107" s="40">
        <f>'All Cards'!C88</f>
        <v>17.68</v>
      </c>
      <c r="C107" s="10" t="s">
        <v>22</v>
      </c>
    </row>
    <row r="108" spans="1:3" x14ac:dyDescent="0.25">
      <c r="A108" s="5" t="s">
        <v>105</v>
      </c>
      <c r="B108" s="41">
        <f>'All Cards'!C20</f>
        <v>106.03</v>
      </c>
      <c r="C108" s="4" t="s">
        <v>22</v>
      </c>
    </row>
    <row r="109" spans="1:3" x14ac:dyDescent="0.25">
      <c r="A109" s="11" t="s">
        <v>422</v>
      </c>
      <c r="B109" s="40">
        <f>'All Cards'!C87</f>
        <v>18.02</v>
      </c>
      <c r="C109" s="10" t="s">
        <v>22</v>
      </c>
    </row>
    <row r="110" spans="1:3" x14ac:dyDescent="0.25">
      <c r="A110" s="5" t="s">
        <v>207</v>
      </c>
      <c r="B110" s="41">
        <f>'All Cards'!C38</f>
        <v>52.28</v>
      </c>
      <c r="C110" s="4" t="s">
        <v>22</v>
      </c>
    </row>
    <row r="111" spans="1:3" x14ac:dyDescent="0.25">
      <c r="A111" s="11" t="s">
        <v>111</v>
      </c>
      <c r="B111" s="40">
        <f>'All Cards'!C21</f>
        <v>105.14</v>
      </c>
      <c r="C111" s="10" t="s">
        <v>22</v>
      </c>
    </row>
    <row r="112" spans="1:3" x14ac:dyDescent="0.25">
      <c r="A112" s="5" t="s">
        <v>658</v>
      </c>
      <c r="B112" s="41">
        <f>'All Cards'!C146</f>
        <v>7.49</v>
      </c>
      <c r="C112" s="4" t="s">
        <v>22</v>
      </c>
    </row>
    <row r="113" spans="1:3" x14ac:dyDescent="0.25">
      <c r="A113" s="11" t="s">
        <v>696</v>
      </c>
      <c r="B113" s="40">
        <f>'All Cards'!C156</f>
        <v>6.55</v>
      </c>
      <c r="C113" s="10" t="s">
        <v>12</v>
      </c>
    </row>
    <row r="114" spans="1:3" x14ac:dyDescent="0.25">
      <c r="A114" s="5" t="s">
        <v>157</v>
      </c>
      <c r="B114" s="41">
        <f>'All Cards'!C29</f>
        <v>71.349999999999994</v>
      </c>
      <c r="C114" s="4" t="s">
        <v>22</v>
      </c>
    </row>
    <row r="115" spans="1:3" x14ac:dyDescent="0.25">
      <c r="A115" s="11" t="s">
        <v>296</v>
      </c>
      <c r="B115" s="40">
        <f>'All Cards'!C57</f>
        <v>29.63</v>
      </c>
      <c r="C115" s="10" t="s">
        <v>12</v>
      </c>
    </row>
    <row r="116" spans="1:3" x14ac:dyDescent="0.25">
      <c r="A116" s="5" t="s">
        <v>487</v>
      </c>
      <c r="B116" s="41">
        <f>'All Cards'!C102</f>
        <v>15.98</v>
      </c>
      <c r="C116" s="4" t="s">
        <v>12</v>
      </c>
    </row>
    <row r="117" spans="1:3" x14ac:dyDescent="0.25">
      <c r="A117" s="11" t="s">
        <v>79</v>
      </c>
      <c r="B117" s="40">
        <f>'All Cards'!C15</f>
        <v>162.96</v>
      </c>
      <c r="C117" s="10" t="s">
        <v>22</v>
      </c>
    </row>
    <row r="118" spans="1:3" x14ac:dyDescent="0.25">
      <c r="A118" s="5" t="s">
        <v>546</v>
      </c>
      <c r="B118" s="41">
        <f>'All Cards'!C117</f>
        <v>13.92</v>
      </c>
      <c r="C118" s="4" t="s">
        <v>123</v>
      </c>
    </row>
    <row r="119" spans="1:3" x14ac:dyDescent="0.25">
      <c r="A119" s="11" t="s">
        <v>484</v>
      </c>
      <c r="B119" s="40">
        <f>'All Cards'!C101</f>
        <v>15.98</v>
      </c>
      <c r="C119" s="10" t="s">
        <v>50</v>
      </c>
    </row>
    <row r="120" spans="1:3" x14ac:dyDescent="0.25">
      <c r="A120" s="5" t="s">
        <v>307</v>
      </c>
      <c r="B120" s="41">
        <f>'All Cards'!C60</f>
        <v>27.99</v>
      </c>
      <c r="C120" s="4" t="s">
        <v>22</v>
      </c>
    </row>
    <row r="121" spans="1:3" x14ac:dyDescent="0.25">
      <c r="A121" s="11" t="s">
        <v>393</v>
      </c>
      <c r="B121" s="40">
        <f>'All Cards'!C79</f>
        <v>19.47</v>
      </c>
      <c r="C121" s="10" t="s">
        <v>12</v>
      </c>
    </row>
    <row r="122" spans="1:3" x14ac:dyDescent="0.25">
      <c r="A122" s="5" t="s">
        <v>288</v>
      </c>
      <c r="B122" s="41">
        <f>'All Cards'!C55</f>
        <v>30</v>
      </c>
      <c r="C122" s="4" t="s">
        <v>12</v>
      </c>
    </row>
    <row r="123" spans="1:3" x14ac:dyDescent="0.25">
      <c r="A123" s="11" t="s">
        <v>429</v>
      </c>
      <c r="B123" s="40">
        <f>'All Cards'!C89</f>
        <v>17.64</v>
      </c>
      <c r="C123" s="10" t="s">
        <v>22</v>
      </c>
    </row>
    <row r="124" spans="1:3" x14ac:dyDescent="0.25">
      <c r="A124" s="5" t="s">
        <v>703</v>
      </c>
      <c r="B124" s="41">
        <f>'All Cards'!C158</f>
        <v>6.42</v>
      </c>
      <c r="C124" s="4" t="s">
        <v>12</v>
      </c>
    </row>
    <row r="125" spans="1:3" x14ac:dyDescent="0.25">
      <c r="A125" s="11" t="s">
        <v>664</v>
      </c>
      <c r="B125" s="40">
        <f>'All Cards'!C147</f>
        <v>7.3</v>
      </c>
      <c r="C125" s="10" t="s">
        <v>12</v>
      </c>
    </row>
    <row r="126" spans="1:3" x14ac:dyDescent="0.25">
      <c r="A126" s="5" t="s">
        <v>366</v>
      </c>
      <c r="B126" s="41">
        <f>'All Cards'!C72</f>
        <v>21.24</v>
      </c>
      <c r="C126" s="4" t="s">
        <v>12</v>
      </c>
    </row>
    <row r="127" spans="1:3" x14ac:dyDescent="0.25">
      <c r="A127" s="11" t="s">
        <v>215</v>
      </c>
      <c r="B127" s="40">
        <f>'All Cards'!C40</f>
        <v>50</v>
      </c>
      <c r="C127" s="10" t="s">
        <v>12</v>
      </c>
    </row>
    <row r="128" spans="1:3" x14ac:dyDescent="0.25">
      <c r="A128" s="5" t="s">
        <v>56</v>
      </c>
      <c r="B128" s="41">
        <f>'All Cards'!C10</f>
        <v>150</v>
      </c>
      <c r="C128" s="4" t="s">
        <v>22</v>
      </c>
    </row>
    <row r="129" spans="1:3" x14ac:dyDescent="0.25">
      <c r="A129" s="11" t="s">
        <v>151</v>
      </c>
      <c r="B129" s="40">
        <f>'All Cards'!C28</f>
        <v>82.4</v>
      </c>
      <c r="C129" s="10" t="s">
        <v>22</v>
      </c>
    </row>
    <row r="130" spans="1:3" x14ac:dyDescent="0.25">
      <c r="A130" s="5" t="s">
        <v>122</v>
      </c>
      <c r="B130" s="41">
        <f>'All Cards'!C23</f>
        <v>100</v>
      </c>
      <c r="C130" s="4" t="s">
        <v>123</v>
      </c>
    </row>
    <row r="131" spans="1:3" x14ac:dyDescent="0.25">
      <c r="A131" s="11" t="s">
        <v>335</v>
      </c>
      <c r="B131" s="40">
        <f>'All Cards'!C66</f>
        <v>23.98</v>
      </c>
      <c r="C131" s="10" t="s">
        <v>22</v>
      </c>
    </row>
    <row r="132" spans="1:3" x14ac:dyDescent="0.25">
      <c r="A132" s="5" t="s">
        <v>62</v>
      </c>
      <c r="B132" s="41">
        <f>'All Cards'!C11</f>
        <v>200</v>
      </c>
      <c r="C132" s="4" t="s">
        <v>22</v>
      </c>
    </row>
    <row r="133" spans="1:3" x14ac:dyDescent="0.25">
      <c r="A133" s="11" t="s">
        <v>389</v>
      </c>
      <c r="B133" s="40">
        <f>'All Cards'!C77</f>
        <v>19.73</v>
      </c>
      <c r="C133" s="10" t="s">
        <v>77</v>
      </c>
    </row>
    <row r="134" spans="1:3" x14ac:dyDescent="0.25">
      <c r="A134" s="5" t="s">
        <v>392</v>
      </c>
      <c r="B134" s="41">
        <f>'All Cards'!C78</f>
        <v>19.47</v>
      </c>
      <c r="C134" s="4" t="s">
        <v>77</v>
      </c>
    </row>
    <row r="136" spans="1:3" ht="20.100000000000001" customHeight="1" x14ac:dyDescent="0.25">
      <c r="A136" s="83" t="s">
        <v>850</v>
      </c>
      <c r="B136" s="69"/>
      <c r="C136" s="69"/>
    </row>
    <row r="137" spans="1:3" x14ac:dyDescent="0.25">
      <c r="A137" s="60" t="s">
        <v>882</v>
      </c>
      <c r="B137" s="61">
        <f>COUNTIFS('All Cards'!$C$2:$C$190,"&gt;=25",'All Cards'!$C$2:$C$190,"&lt;100")</f>
        <v>39</v>
      </c>
      <c r="C137" s="62">
        <f>SUMIFS('All Cards'!$C$2:$C$190,'All Cards'!$C$2:$C$190,"&gt;=25",'All Cards'!$C$2:$C$190,"&lt;100")</f>
        <v>1887.1400000000003</v>
      </c>
    </row>
    <row r="138" spans="1:3" x14ac:dyDescent="0.25">
      <c r="A138" s="38" t="s">
        <v>1</v>
      </c>
      <c r="B138" s="38" t="s">
        <v>883</v>
      </c>
      <c r="C138" s="38" t="s">
        <v>3</v>
      </c>
    </row>
    <row r="139" spans="1:3" x14ac:dyDescent="0.25">
      <c r="A139" s="11" t="s">
        <v>551</v>
      </c>
      <c r="B139" s="40">
        <f>'All Cards'!C120</f>
        <v>13.15</v>
      </c>
      <c r="C139" s="10" t="s">
        <v>12</v>
      </c>
    </row>
    <row r="140" spans="1:3" x14ac:dyDescent="0.25">
      <c r="A140" s="5" t="s">
        <v>777</v>
      </c>
      <c r="B140" s="41">
        <f>'All Cards'!C174</f>
        <v>4.24</v>
      </c>
      <c r="C140" s="4" t="s">
        <v>12</v>
      </c>
    </row>
    <row r="141" spans="1:3" x14ac:dyDescent="0.25">
      <c r="A141" s="11" t="s">
        <v>73</v>
      </c>
      <c r="B141" s="40">
        <f>'All Cards'!C13</f>
        <v>196.18</v>
      </c>
      <c r="C141" s="10" t="s">
        <v>22</v>
      </c>
    </row>
    <row r="142" spans="1:3" x14ac:dyDescent="0.25">
      <c r="A142" s="5" t="s">
        <v>371</v>
      </c>
      <c r="B142" s="41">
        <f>'All Cards'!C73</f>
        <v>20.79</v>
      </c>
      <c r="C142" s="4" t="s">
        <v>22</v>
      </c>
    </row>
    <row r="143" spans="1:3" x14ac:dyDescent="0.25">
      <c r="A143" s="11" t="s">
        <v>590</v>
      </c>
      <c r="B143" s="40">
        <f>'All Cards'!C129</f>
        <v>10.65</v>
      </c>
      <c r="C143" s="10" t="s">
        <v>12</v>
      </c>
    </row>
    <row r="144" spans="1:3" x14ac:dyDescent="0.25">
      <c r="A144" s="5" t="s">
        <v>603</v>
      </c>
      <c r="B144" s="41">
        <f>'All Cards'!C133</f>
        <v>10.23</v>
      </c>
      <c r="C144" s="4" t="s">
        <v>12</v>
      </c>
    </row>
    <row r="145" spans="1:3" x14ac:dyDescent="0.25">
      <c r="A145" s="11" t="s">
        <v>537</v>
      </c>
      <c r="B145" s="40">
        <f>'All Cards'!C115</f>
        <v>14.32</v>
      </c>
      <c r="C145" s="10" t="s">
        <v>22</v>
      </c>
    </row>
    <row r="146" spans="1:3" x14ac:dyDescent="0.25">
      <c r="A146" s="5" t="s">
        <v>648</v>
      </c>
      <c r="B146" s="41">
        <f>'All Cards'!C144</f>
        <v>8.0299999999999994</v>
      </c>
      <c r="C146" s="4" t="s">
        <v>22</v>
      </c>
    </row>
    <row r="147" spans="1:3" x14ac:dyDescent="0.25">
      <c r="A147" s="11" t="s">
        <v>806</v>
      </c>
      <c r="B147" s="40">
        <f>'All Cards'!C183</f>
        <v>2.91</v>
      </c>
      <c r="C147" s="10" t="s">
        <v>12</v>
      </c>
    </row>
    <row r="148" spans="1:3" x14ac:dyDescent="0.25">
      <c r="A148" s="5" t="s">
        <v>782</v>
      </c>
      <c r="B148" s="41">
        <f>'All Cards'!C176</f>
        <v>4</v>
      </c>
      <c r="C148" s="4" t="s">
        <v>50</v>
      </c>
    </row>
    <row r="149" spans="1:3" x14ac:dyDescent="0.25">
      <c r="A149" s="11" t="s">
        <v>725</v>
      </c>
      <c r="B149" s="40">
        <f>'All Cards'!C165</f>
        <v>5.3</v>
      </c>
      <c r="C149" s="10" t="s">
        <v>22</v>
      </c>
    </row>
    <row r="150" spans="1:3" x14ac:dyDescent="0.25">
      <c r="A150" s="5" t="s">
        <v>209</v>
      </c>
      <c r="B150" s="41">
        <f>'All Cards'!C39</f>
        <v>50</v>
      </c>
      <c r="C150" s="4" t="s">
        <v>12</v>
      </c>
    </row>
    <row r="151" spans="1:3" x14ac:dyDescent="0.25">
      <c r="A151" s="11" t="s">
        <v>275</v>
      </c>
      <c r="B151" s="40">
        <f>'All Cards'!C52</f>
        <v>35.299999999999997</v>
      </c>
      <c r="C151" s="10" t="s">
        <v>22</v>
      </c>
    </row>
    <row r="152" spans="1:3" x14ac:dyDescent="0.25">
      <c r="A152" s="5" t="s">
        <v>542</v>
      </c>
      <c r="B152" s="41">
        <f>'All Cards'!C116</f>
        <v>14.21</v>
      </c>
      <c r="C152" s="4" t="s">
        <v>22</v>
      </c>
    </row>
    <row r="153" spans="1:3" x14ac:dyDescent="0.25">
      <c r="A153" s="11" t="s">
        <v>185</v>
      </c>
      <c r="B153" s="40">
        <f>'All Cards'!C34</f>
        <v>57</v>
      </c>
      <c r="C153" s="10" t="s">
        <v>12</v>
      </c>
    </row>
    <row r="154" spans="1:3" x14ac:dyDescent="0.25">
      <c r="A154" s="5" t="s">
        <v>376</v>
      </c>
      <c r="B154" s="41">
        <f>'All Cards'!C74</f>
        <v>20.2</v>
      </c>
      <c r="C154" s="4" t="s">
        <v>77</v>
      </c>
    </row>
    <row r="155" spans="1:3" x14ac:dyDescent="0.25">
      <c r="A155" s="11" t="s">
        <v>799</v>
      </c>
      <c r="B155" s="40">
        <f>'All Cards'!C180</f>
        <v>3</v>
      </c>
      <c r="C155" s="10" t="s">
        <v>77</v>
      </c>
    </row>
    <row r="156" spans="1:3" x14ac:dyDescent="0.25">
      <c r="A156" s="5" t="s">
        <v>808</v>
      </c>
      <c r="B156" s="41">
        <f>'All Cards'!C184</f>
        <v>2.69</v>
      </c>
      <c r="C156" s="4" t="s">
        <v>77</v>
      </c>
    </row>
    <row r="157" spans="1:3" x14ac:dyDescent="0.25">
      <c r="A157" s="11" t="s">
        <v>809</v>
      </c>
      <c r="B157" s="40">
        <f>'All Cards'!C185</f>
        <v>2.37</v>
      </c>
      <c r="C157" s="10" t="s">
        <v>77</v>
      </c>
    </row>
    <row r="158" spans="1:3" x14ac:dyDescent="0.25">
      <c r="A158" s="5" t="s">
        <v>816</v>
      </c>
      <c r="B158" s="41">
        <f>'All Cards'!C187</f>
        <v>2</v>
      </c>
      <c r="C158" s="4" t="s">
        <v>77</v>
      </c>
    </row>
    <row r="159" spans="1:3" x14ac:dyDescent="0.25">
      <c r="A159" s="11" t="s">
        <v>600</v>
      </c>
      <c r="B159" s="40">
        <f>'All Cards'!C132</f>
        <v>10.24</v>
      </c>
      <c r="C159" s="10" t="s">
        <v>22</v>
      </c>
    </row>
    <row r="160" spans="1:3" x14ac:dyDescent="0.25">
      <c r="A160" s="5" t="s">
        <v>145</v>
      </c>
      <c r="B160" s="41">
        <f>'All Cards'!C27</f>
        <v>93.97</v>
      </c>
      <c r="C160" s="4" t="s">
        <v>22</v>
      </c>
    </row>
    <row r="161" spans="1:3" x14ac:dyDescent="0.25">
      <c r="A161" s="11" t="s">
        <v>441</v>
      </c>
      <c r="B161" s="40">
        <f>'All Cards'!C91</f>
        <v>17.079999999999998</v>
      </c>
      <c r="C161" s="10" t="s">
        <v>22</v>
      </c>
    </row>
    <row r="162" spans="1:3" x14ac:dyDescent="0.25">
      <c r="A162" s="5" t="s">
        <v>411</v>
      </c>
      <c r="B162" s="41">
        <f>'All Cards'!C83</f>
        <v>18.98</v>
      </c>
      <c r="C162" s="4" t="s">
        <v>22</v>
      </c>
    </row>
    <row r="163" spans="1:3" x14ac:dyDescent="0.25">
      <c r="A163" s="11" t="s">
        <v>698</v>
      </c>
      <c r="B163" s="40">
        <f>'All Cards'!C157</f>
        <v>6.5</v>
      </c>
      <c r="C163" s="10" t="s">
        <v>12</v>
      </c>
    </row>
    <row r="164" spans="1:3" x14ac:dyDescent="0.25">
      <c r="A164" s="5" t="s">
        <v>800</v>
      </c>
      <c r="B164" s="41">
        <f>'All Cards'!C181</f>
        <v>2.93</v>
      </c>
      <c r="C164" s="4" t="s">
        <v>22</v>
      </c>
    </row>
    <row r="165" spans="1:3" x14ac:dyDescent="0.25">
      <c r="A165" s="11" t="s">
        <v>470</v>
      </c>
      <c r="B165" s="40">
        <f>'All Cards'!C98</f>
        <v>16.53</v>
      </c>
      <c r="C165" s="10" t="s">
        <v>50</v>
      </c>
    </row>
    <row r="166" spans="1:3" x14ac:dyDescent="0.25">
      <c r="A166" s="5" t="s">
        <v>480</v>
      </c>
      <c r="B166" s="41">
        <f>'All Cards'!C100</f>
        <v>16.04</v>
      </c>
      <c r="C166" s="4" t="s">
        <v>50</v>
      </c>
    </row>
    <row r="167" spans="1:3" x14ac:dyDescent="0.25">
      <c r="A167" s="11" t="s">
        <v>627</v>
      </c>
      <c r="B167" s="40">
        <f>'All Cards'!C139</f>
        <v>9</v>
      </c>
      <c r="C167" s="10" t="s">
        <v>22</v>
      </c>
    </row>
    <row r="168" spans="1:3" x14ac:dyDescent="0.25">
      <c r="A168" s="5" t="s">
        <v>220</v>
      </c>
      <c r="B168" s="41">
        <f>'All Cards'!C41</f>
        <v>50</v>
      </c>
      <c r="C168" s="4" t="s">
        <v>22</v>
      </c>
    </row>
    <row r="169" spans="1:3" x14ac:dyDescent="0.25">
      <c r="A169" s="11" t="s">
        <v>465</v>
      </c>
      <c r="B169" s="40">
        <f>'All Cards'!C97</f>
        <v>16.75</v>
      </c>
      <c r="C169" s="10" t="s">
        <v>22</v>
      </c>
    </row>
    <row r="170" spans="1:3" x14ac:dyDescent="0.25">
      <c r="A170" s="5" t="s">
        <v>632</v>
      </c>
      <c r="B170" s="41">
        <f>'All Cards'!C140</f>
        <v>8.74</v>
      </c>
      <c r="C170" s="4" t="s">
        <v>77</v>
      </c>
    </row>
    <row r="171" spans="1:3" x14ac:dyDescent="0.25">
      <c r="A171" s="11" t="s">
        <v>676</v>
      </c>
      <c r="B171" s="40">
        <f>'All Cards'!C150</f>
        <v>7.06</v>
      </c>
      <c r="C171" s="10" t="s">
        <v>77</v>
      </c>
    </row>
    <row r="172" spans="1:3" x14ac:dyDescent="0.25">
      <c r="A172" s="5" t="s">
        <v>196</v>
      </c>
      <c r="B172" s="41">
        <f>'All Cards'!C36</f>
        <v>55.77</v>
      </c>
      <c r="C172" s="4" t="s">
        <v>22</v>
      </c>
    </row>
    <row r="173" spans="1:3" x14ac:dyDescent="0.25">
      <c r="A173" s="11" t="s">
        <v>752</v>
      </c>
      <c r="B173" s="40">
        <f>'All Cards'!C170</f>
        <v>5</v>
      </c>
      <c r="C173" s="10" t="s">
        <v>22</v>
      </c>
    </row>
    <row r="174" spans="1:3" x14ac:dyDescent="0.25">
      <c r="A174" s="5" t="s">
        <v>533</v>
      </c>
      <c r="B174" s="41">
        <f>'All Cards'!C114</f>
        <v>14.6</v>
      </c>
      <c r="C174" s="4" t="s">
        <v>22</v>
      </c>
    </row>
    <row r="175" spans="1:3" x14ac:dyDescent="0.25">
      <c r="A175" s="11" t="s">
        <v>350</v>
      </c>
      <c r="B175" s="40">
        <f>'All Cards'!C69</f>
        <v>22.26</v>
      </c>
      <c r="C175" s="10" t="s">
        <v>22</v>
      </c>
    </row>
    <row r="176" spans="1:3" x14ac:dyDescent="0.25">
      <c r="A176" s="5" t="s">
        <v>224</v>
      </c>
      <c r="B176" s="41">
        <f>'All Cards'!C42</f>
        <v>50</v>
      </c>
      <c r="C176" s="4" t="s">
        <v>22</v>
      </c>
    </row>
    <row r="177" spans="1:3" x14ac:dyDescent="0.25">
      <c r="A177" s="11" t="s">
        <v>506</v>
      </c>
      <c r="B177" s="40">
        <f>'All Cards'!C107</f>
        <v>15</v>
      </c>
      <c r="C177" s="10" t="s">
        <v>77</v>
      </c>
    </row>
    <row r="179" spans="1:3" ht="20.100000000000001" customHeight="1" x14ac:dyDescent="0.25">
      <c r="A179" s="86" t="s">
        <v>851</v>
      </c>
      <c r="B179" s="69"/>
      <c r="C179" s="69"/>
    </row>
    <row r="180" spans="1:3" x14ac:dyDescent="0.25">
      <c r="A180" s="60" t="s">
        <v>882</v>
      </c>
      <c r="B180" s="61">
        <f>COUNTIFS('All Cards'!$C$2:$C$190,"&gt;=100",'All Cards'!$C$2:$C$190,"&lt;500")</f>
        <v>19</v>
      </c>
      <c r="C180" s="62">
        <f>SUMIFS('All Cards'!$C$2:$C$190,'All Cards'!$C$2:$C$190,"&gt;=100",'All Cards'!$C$2:$C$190,"&lt;500")</f>
        <v>4071.78</v>
      </c>
    </row>
    <row r="181" spans="1:3" x14ac:dyDescent="0.25">
      <c r="A181" s="38" t="s">
        <v>1</v>
      </c>
      <c r="B181" s="38" t="s">
        <v>883</v>
      </c>
      <c r="C181" s="38" t="s">
        <v>3</v>
      </c>
    </row>
    <row r="182" spans="1:3" x14ac:dyDescent="0.25">
      <c r="A182" s="5" t="s">
        <v>611</v>
      </c>
      <c r="B182" s="41">
        <f>'All Cards'!C135</f>
        <v>10</v>
      </c>
      <c r="C182" s="4" t="s">
        <v>12</v>
      </c>
    </row>
    <row r="183" spans="1:3" x14ac:dyDescent="0.25">
      <c r="A183" s="11" t="s">
        <v>811</v>
      </c>
      <c r="B183" s="40">
        <f>'All Cards'!C186</f>
        <v>2.11</v>
      </c>
      <c r="C183" s="10" t="s">
        <v>22</v>
      </c>
    </row>
    <row r="184" spans="1:3" x14ac:dyDescent="0.25">
      <c r="A184" s="5" t="s">
        <v>723</v>
      </c>
      <c r="B184" s="41">
        <f>'All Cards'!C164</f>
        <v>5.34</v>
      </c>
      <c r="C184" s="4" t="s">
        <v>22</v>
      </c>
    </row>
    <row r="185" spans="1:3" x14ac:dyDescent="0.25">
      <c r="A185" s="11" t="s">
        <v>644</v>
      </c>
      <c r="B185" s="40">
        <f>'All Cards'!C143</f>
        <v>8.0399999999999991</v>
      </c>
      <c r="C185" s="10" t="s">
        <v>123</v>
      </c>
    </row>
    <row r="186" spans="1:3" x14ac:dyDescent="0.25">
      <c r="A186" s="5" t="s">
        <v>550</v>
      </c>
      <c r="B186" s="41">
        <f>'All Cards'!C119</f>
        <v>13.19</v>
      </c>
      <c r="C186" s="4" t="s">
        <v>77</v>
      </c>
    </row>
    <row r="187" spans="1:3" x14ac:dyDescent="0.25">
      <c r="A187" s="11" t="s">
        <v>174</v>
      </c>
      <c r="B187" s="40">
        <f>'All Cards'!C32</f>
        <v>59.49</v>
      </c>
      <c r="C187" s="10" t="s">
        <v>22</v>
      </c>
    </row>
    <row r="188" spans="1:3" x14ac:dyDescent="0.25">
      <c r="A188" s="5" t="s">
        <v>516</v>
      </c>
      <c r="B188" s="41">
        <f>'All Cards'!C110</f>
        <v>14.61</v>
      </c>
      <c r="C188" s="4" t="s">
        <v>12</v>
      </c>
    </row>
    <row r="189" spans="1:3" x14ac:dyDescent="0.25">
      <c r="A189" s="11" t="s">
        <v>615</v>
      </c>
      <c r="B189" s="40">
        <f>'All Cards'!C136</f>
        <v>10</v>
      </c>
      <c r="C189" s="10" t="s">
        <v>12</v>
      </c>
    </row>
    <row r="190" spans="1:3" x14ac:dyDescent="0.25">
      <c r="A190" s="5" t="s">
        <v>626</v>
      </c>
      <c r="B190" s="41">
        <f>'All Cards'!C138</f>
        <v>9.64</v>
      </c>
      <c r="C190" s="4" t="s">
        <v>77</v>
      </c>
    </row>
    <row r="191" spans="1:3" x14ac:dyDescent="0.25">
      <c r="A191" s="11" t="s">
        <v>828</v>
      </c>
      <c r="B191" s="40">
        <f>'All Cards'!C190</f>
        <v>0.45</v>
      </c>
      <c r="C191" s="10" t="s">
        <v>77</v>
      </c>
    </row>
    <row r="192" spans="1:3" x14ac:dyDescent="0.25">
      <c r="A192" s="5" t="s">
        <v>819</v>
      </c>
      <c r="B192" s="41">
        <f>'All Cards'!C188</f>
        <v>2</v>
      </c>
      <c r="C192" s="4" t="s">
        <v>22</v>
      </c>
    </row>
    <row r="193" spans="1:3" x14ac:dyDescent="0.25">
      <c r="A193" s="11" t="s">
        <v>804</v>
      </c>
      <c r="B193" s="40">
        <f>'All Cards'!C182</f>
        <v>2.92</v>
      </c>
      <c r="C193" s="10" t="s">
        <v>22</v>
      </c>
    </row>
    <row r="194" spans="1:3" x14ac:dyDescent="0.25">
      <c r="A194" s="5" t="s">
        <v>607</v>
      </c>
      <c r="B194" s="41">
        <f>'All Cards'!C134</f>
        <v>10.14</v>
      </c>
      <c r="C194" s="4" t="s">
        <v>12</v>
      </c>
    </row>
    <row r="195" spans="1:3" x14ac:dyDescent="0.25">
      <c r="A195" s="11" t="s">
        <v>692</v>
      </c>
      <c r="B195" s="40">
        <f>'All Cards'!C155</f>
        <v>6.56</v>
      </c>
      <c r="C195" s="10" t="s">
        <v>12</v>
      </c>
    </row>
    <row r="196" spans="1:3" x14ac:dyDescent="0.25">
      <c r="A196" s="5" t="s">
        <v>11</v>
      </c>
      <c r="B196" s="41">
        <f>'All Cards'!C2</f>
        <v>605</v>
      </c>
      <c r="C196" s="4" t="s">
        <v>12</v>
      </c>
    </row>
    <row r="197" spans="1:3" x14ac:dyDescent="0.25">
      <c r="A197" s="11" t="s">
        <v>620</v>
      </c>
      <c r="B197" s="40">
        <f>'All Cards'!C137</f>
        <v>9.86</v>
      </c>
      <c r="C197" s="10" t="s">
        <v>12</v>
      </c>
    </row>
    <row r="198" spans="1:3" x14ac:dyDescent="0.25">
      <c r="A198" s="5" t="s">
        <v>511</v>
      </c>
      <c r="B198" s="41">
        <f>'All Cards'!C109</f>
        <v>14.61</v>
      </c>
      <c r="C198" s="4" t="s">
        <v>12</v>
      </c>
    </row>
    <row r="199" spans="1:3" x14ac:dyDescent="0.25">
      <c r="A199" s="11" t="s">
        <v>549</v>
      </c>
      <c r="B199" s="40">
        <f>'All Cards'!C118</f>
        <v>13.22</v>
      </c>
      <c r="C199" s="10" t="s">
        <v>12</v>
      </c>
    </row>
    <row r="200" spans="1:3" x14ac:dyDescent="0.25">
      <c r="A200" s="5" t="s">
        <v>780</v>
      </c>
      <c r="B200" s="41">
        <f>'All Cards'!C175</f>
        <v>4</v>
      </c>
      <c r="C200" s="4" t="s">
        <v>12</v>
      </c>
    </row>
    <row r="201" spans="1:3" x14ac:dyDescent="0.25">
      <c r="A201" s="11" t="s">
        <v>824</v>
      </c>
      <c r="B201" s="40">
        <f>'All Cards'!C189</f>
        <v>0.45</v>
      </c>
      <c r="C201" s="10" t="s">
        <v>22</v>
      </c>
    </row>
    <row r="202" spans="1:3" x14ac:dyDescent="0.25">
      <c r="A202" s="5" t="s">
        <v>446</v>
      </c>
      <c r="B202" s="41">
        <f>'All Cards'!C92</f>
        <v>17.03</v>
      </c>
      <c r="C202" s="4" t="s">
        <v>22</v>
      </c>
    </row>
    <row r="203" spans="1:3" x14ac:dyDescent="0.25">
      <c r="A203" s="11" t="s">
        <v>798</v>
      </c>
      <c r="B203" s="40">
        <f>'All Cards'!C179</f>
        <v>3</v>
      </c>
      <c r="C203" s="10" t="s">
        <v>77</v>
      </c>
    </row>
    <row r="205" spans="1:3" ht="20.100000000000001" customHeight="1" x14ac:dyDescent="0.25">
      <c r="A205" s="85" t="s">
        <v>852</v>
      </c>
      <c r="B205" s="69"/>
      <c r="C205" s="69"/>
    </row>
    <row r="206" spans="1:3" x14ac:dyDescent="0.25">
      <c r="A206" s="60" t="s">
        <v>882</v>
      </c>
      <c r="B206" s="61">
        <f>COUNTIFS('All Cards'!$C$2:$C$190,"&gt;=500",'All Cards'!$C$2:$C$190,"&lt;9999999")</f>
        <v>1</v>
      </c>
      <c r="C206" s="62">
        <f>SUMIFS('All Cards'!$C$2:$C$190,'All Cards'!$C$2:$C$190,"&gt;=500",'All Cards'!$C$2:$C$190,"&lt;9999999")</f>
        <v>605</v>
      </c>
    </row>
    <row r="207" spans="1:3" x14ac:dyDescent="0.25">
      <c r="A207" s="38" t="s">
        <v>1</v>
      </c>
      <c r="B207" s="38" t="s">
        <v>883</v>
      </c>
      <c r="C207" s="38" t="s">
        <v>3</v>
      </c>
    </row>
    <row r="208" spans="1:3" x14ac:dyDescent="0.25">
      <c r="A208" s="5" t="s">
        <v>714</v>
      </c>
      <c r="B208" s="41">
        <f>'All Cards'!C162</f>
        <v>5.64</v>
      </c>
      <c r="C208" s="4" t="s">
        <v>12</v>
      </c>
    </row>
  </sheetData>
  <mergeCells count="5">
    <mergeCell ref="A1:C1"/>
    <mergeCell ref="A136:C136"/>
    <mergeCell ref="A24:C24"/>
    <mergeCell ref="A205:C205"/>
    <mergeCell ref="A179:C17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workbookViewId="0"/>
  </sheetViews>
  <sheetFormatPr defaultRowHeight="15" x14ac:dyDescent="0.25"/>
  <cols>
    <col min="1" max="1" width="70" customWidth="1"/>
    <col min="2" max="2" width="18" customWidth="1"/>
    <col min="3" max="3" width="13" customWidth="1"/>
    <col min="4" max="4" width="8" customWidth="1"/>
  </cols>
  <sheetData>
    <row r="1" spans="1:4" ht="21.95" customHeight="1" x14ac:dyDescent="0.25">
      <c r="A1" s="78" t="s">
        <v>884</v>
      </c>
      <c r="B1" s="69"/>
      <c r="C1" s="69"/>
      <c r="D1" s="69"/>
    </row>
    <row r="2" spans="1:4" ht="18" customHeight="1" x14ac:dyDescent="0.25">
      <c r="A2" s="81" t="s">
        <v>885</v>
      </c>
      <c r="B2" s="69"/>
      <c r="C2" s="69"/>
      <c r="D2" s="69"/>
    </row>
    <row r="3" spans="1:4" x14ac:dyDescent="0.25">
      <c r="A3" s="63" t="s">
        <v>886</v>
      </c>
      <c r="B3" s="64">
        <f>COUNTIFS('All Cards'!$C$2:$C$190,"&gt;=0.01",'All Cards'!$C$2:$C$190,"&lt;5")</f>
        <v>21</v>
      </c>
    </row>
    <row r="4" spans="1:4" x14ac:dyDescent="0.25">
      <c r="A4" s="65" t="s">
        <v>1</v>
      </c>
      <c r="B4" s="65" t="s">
        <v>883</v>
      </c>
      <c r="C4" s="65" t="s">
        <v>3</v>
      </c>
      <c r="D4" s="65" t="s">
        <v>4</v>
      </c>
    </row>
    <row r="5" spans="1:4" x14ac:dyDescent="0.25">
      <c r="A5" s="11" t="s">
        <v>414</v>
      </c>
      <c r="B5" s="40">
        <f>'All Cards'!C84</f>
        <v>18.52</v>
      </c>
      <c r="C5" s="10" t="s">
        <v>123</v>
      </c>
      <c r="D5" s="10" t="s">
        <v>13</v>
      </c>
    </row>
    <row r="6" spans="1:4" x14ac:dyDescent="0.25">
      <c r="A6" s="5" t="s">
        <v>417</v>
      </c>
      <c r="B6" s="41">
        <f>'All Cards'!C85</f>
        <v>18.21</v>
      </c>
      <c r="C6" s="4" t="s">
        <v>123</v>
      </c>
      <c r="D6" s="4" t="s">
        <v>13</v>
      </c>
    </row>
    <row r="7" spans="1:4" x14ac:dyDescent="0.25">
      <c r="A7" s="11" t="s">
        <v>99</v>
      </c>
      <c r="B7" s="40">
        <f>'All Cards'!C19</f>
        <v>124.13</v>
      </c>
      <c r="C7" s="10" t="s">
        <v>22</v>
      </c>
      <c r="D7" s="10" t="s">
        <v>100</v>
      </c>
    </row>
    <row r="8" spans="1:4" x14ac:dyDescent="0.25">
      <c r="A8" s="5" t="s">
        <v>300</v>
      </c>
      <c r="B8" s="41">
        <f>'All Cards'!C58</f>
        <v>28.98</v>
      </c>
      <c r="C8" s="4" t="s">
        <v>77</v>
      </c>
      <c r="D8" s="4" t="s">
        <v>887</v>
      </c>
    </row>
    <row r="9" spans="1:4" x14ac:dyDescent="0.25">
      <c r="A9" s="11" t="s">
        <v>706</v>
      </c>
      <c r="B9" s="40">
        <f>'All Cards'!C159</f>
        <v>6.11</v>
      </c>
      <c r="C9" s="10" t="s">
        <v>22</v>
      </c>
      <c r="D9" s="10" t="s">
        <v>13</v>
      </c>
    </row>
    <row r="10" spans="1:4" x14ac:dyDescent="0.25">
      <c r="A10" s="5" t="s">
        <v>402</v>
      </c>
      <c r="B10" s="41">
        <f>'All Cards'!C81</f>
        <v>19.260000000000002</v>
      </c>
      <c r="C10" s="4" t="s">
        <v>12</v>
      </c>
      <c r="D10" s="4" t="s">
        <v>29</v>
      </c>
    </row>
    <row r="11" spans="1:4" x14ac:dyDescent="0.25">
      <c r="A11" s="11" t="s">
        <v>267</v>
      </c>
      <c r="B11" s="40">
        <f>'All Cards'!C50</f>
        <v>37.28</v>
      </c>
      <c r="C11" s="10" t="s">
        <v>22</v>
      </c>
      <c r="D11" s="10" t="s">
        <v>268</v>
      </c>
    </row>
    <row r="12" spans="1:4" x14ac:dyDescent="0.25">
      <c r="A12" s="5" t="s">
        <v>653</v>
      </c>
      <c r="B12" s="41">
        <f>'All Cards'!C145</f>
        <v>7.99</v>
      </c>
      <c r="C12" s="4" t="s">
        <v>12</v>
      </c>
      <c r="D12" s="4" t="s">
        <v>332</v>
      </c>
    </row>
    <row r="13" spans="1:4" x14ac:dyDescent="0.25">
      <c r="A13" s="11" t="s">
        <v>35</v>
      </c>
      <c r="B13" s="40">
        <f>'All Cards'!C6</f>
        <v>313.3</v>
      </c>
      <c r="C13" s="10" t="s">
        <v>22</v>
      </c>
      <c r="D13" s="10" t="s">
        <v>13</v>
      </c>
    </row>
    <row r="14" spans="1:4" x14ac:dyDescent="0.25">
      <c r="A14" s="5" t="s">
        <v>384</v>
      </c>
      <c r="B14" s="41">
        <f>'All Cards'!C76</f>
        <v>19.84</v>
      </c>
      <c r="C14" s="4" t="s">
        <v>22</v>
      </c>
      <c r="D14" s="4" t="s">
        <v>128</v>
      </c>
    </row>
    <row r="15" spans="1:4" x14ac:dyDescent="0.25">
      <c r="A15" s="11" t="s">
        <v>190</v>
      </c>
      <c r="B15" s="40">
        <f>'All Cards'!C35</f>
        <v>55.88</v>
      </c>
      <c r="C15" s="10" t="s">
        <v>22</v>
      </c>
      <c r="D15" s="10" t="s">
        <v>128</v>
      </c>
    </row>
    <row r="16" spans="1:4" x14ac:dyDescent="0.25">
      <c r="A16" s="5" t="s">
        <v>504</v>
      </c>
      <c r="B16" s="41">
        <f>'All Cards'!C106</f>
        <v>15.06</v>
      </c>
      <c r="C16" s="4" t="s">
        <v>77</v>
      </c>
      <c r="D16" s="4" t="s">
        <v>118</v>
      </c>
    </row>
    <row r="17" spans="1:4" x14ac:dyDescent="0.25">
      <c r="A17" s="11" t="s">
        <v>262</v>
      </c>
      <c r="B17" s="40">
        <f>'All Cards'!C49</f>
        <v>38.700000000000003</v>
      </c>
      <c r="C17" s="10" t="s">
        <v>22</v>
      </c>
      <c r="D17" s="10" t="s">
        <v>263</v>
      </c>
    </row>
    <row r="18" spans="1:4" x14ac:dyDescent="0.25">
      <c r="A18" s="5" t="s">
        <v>576</v>
      </c>
      <c r="B18" s="41">
        <f>'All Cards'!C126</f>
        <v>11.67</v>
      </c>
      <c r="C18" s="4" t="s">
        <v>22</v>
      </c>
      <c r="D18" s="4" t="s">
        <v>29</v>
      </c>
    </row>
    <row r="19" spans="1:4" x14ac:dyDescent="0.25">
      <c r="A19" s="11" t="s">
        <v>257</v>
      </c>
      <c r="B19" s="40">
        <f>'All Cards'!C48</f>
        <v>39.03</v>
      </c>
      <c r="C19" s="10" t="s">
        <v>22</v>
      </c>
      <c r="D19" s="10" t="s">
        <v>112</v>
      </c>
    </row>
    <row r="20" spans="1:4" x14ac:dyDescent="0.25">
      <c r="A20" s="5" t="s">
        <v>787</v>
      </c>
      <c r="B20" s="41">
        <f>'All Cards'!C177</f>
        <v>3.99</v>
      </c>
      <c r="C20" s="4" t="s">
        <v>22</v>
      </c>
      <c r="D20" s="4" t="s">
        <v>788</v>
      </c>
    </row>
    <row r="21" spans="1:4" x14ac:dyDescent="0.25">
      <c r="A21" s="11" t="s">
        <v>434</v>
      </c>
      <c r="B21" s="40">
        <f>'All Cards'!C90</f>
        <v>17.440000000000001</v>
      </c>
      <c r="C21" s="10" t="s">
        <v>12</v>
      </c>
      <c r="D21" s="10" t="s">
        <v>435</v>
      </c>
    </row>
    <row r="22" spans="1:4" x14ac:dyDescent="0.25">
      <c r="A22" s="5" t="s">
        <v>596</v>
      </c>
      <c r="B22" s="41">
        <f>'All Cards'!C131</f>
        <v>10.57</v>
      </c>
      <c r="C22" s="4" t="s">
        <v>12</v>
      </c>
      <c r="D22" s="4" t="s">
        <v>29</v>
      </c>
    </row>
    <row r="23" spans="1:4" x14ac:dyDescent="0.25">
      <c r="A23" s="11" t="s">
        <v>42</v>
      </c>
      <c r="B23" s="40">
        <f>'All Cards'!C8</f>
        <v>273.77</v>
      </c>
      <c r="C23" s="10" t="s">
        <v>22</v>
      </c>
      <c r="D23" s="10" t="s">
        <v>43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showGridLines="0" workbookViewId="0"/>
  </sheetViews>
  <sheetFormatPr defaultRowHeight="15" x14ac:dyDescent="0.25"/>
  <cols>
    <col min="1" max="1" width="70" customWidth="1"/>
    <col min="2" max="2" width="20" customWidth="1"/>
    <col min="3" max="3" width="40" customWidth="1"/>
  </cols>
  <sheetData>
    <row r="1" spans="1:3" ht="21.95" customHeight="1" x14ac:dyDescent="0.25">
      <c r="A1" s="87" t="s">
        <v>888</v>
      </c>
      <c r="B1" s="69"/>
      <c r="C1" s="69"/>
    </row>
    <row r="2" spans="1:3" x14ac:dyDescent="0.25">
      <c r="A2" s="65" t="s">
        <v>1</v>
      </c>
      <c r="B2" s="65" t="s">
        <v>889</v>
      </c>
      <c r="C2" s="65" t="s">
        <v>8</v>
      </c>
    </row>
    <row r="3" spans="1:3" x14ac:dyDescent="0.25">
      <c r="A3" s="11" t="s">
        <v>76</v>
      </c>
      <c r="B3" s="40">
        <f>'All Cards'!C14</f>
        <v>187.91</v>
      </c>
      <c r="C3" s="11" t="s">
        <v>890</v>
      </c>
    </row>
    <row r="4" spans="1:3" x14ac:dyDescent="0.25">
      <c r="A4" s="5" t="s">
        <v>117</v>
      </c>
      <c r="B4" s="41">
        <f>'All Cards'!C22</f>
        <v>100.15</v>
      </c>
      <c r="C4" s="5" t="s">
        <v>890</v>
      </c>
    </row>
    <row r="5" spans="1:3" x14ac:dyDescent="0.25">
      <c r="A5" s="11" t="s">
        <v>300</v>
      </c>
      <c r="B5" s="40">
        <f>'All Cards'!C58</f>
        <v>28.98</v>
      </c>
      <c r="C5" s="11" t="s">
        <v>890</v>
      </c>
    </row>
    <row r="6" spans="1:3" x14ac:dyDescent="0.25">
      <c r="A6" s="5" t="s">
        <v>376</v>
      </c>
      <c r="B6" s="41">
        <f>'All Cards'!C74</f>
        <v>20.2</v>
      </c>
      <c r="C6" s="5" t="s">
        <v>890</v>
      </c>
    </row>
    <row r="7" spans="1:3" x14ac:dyDescent="0.25">
      <c r="A7" s="11" t="s">
        <v>389</v>
      </c>
      <c r="B7" s="40">
        <f>'All Cards'!C77</f>
        <v>19.73</v>
      </c>
      <c r="C7" s="11" t="s">
        <v>890</v>
      </c>
    </row>
    <row r="8" spans="1:3" x14ac:dyDescent="0.25">
      <c r="A8" s="5" t="s">
        <v>392</v>
      </c>
      <c r="B8" s="41">
        <f>'All Cards'!C78</f>
        <v>19.47</v>
      </c>
      <c r="C8" s="5" t="s">
        <v>890</v>
      </c>
    </row>
    <row r="9" spans="1:3" x14ac:dyDescent="0.25">
      <c r="A9" s="11" t="s">
        <v>504</v>
      </c>
      <c r="B9" s="40">
        <f>'All Cards'!C106</f>
        <v>15.06</v>
      </c>
      <c r="C9" s="11" t="s">
        <v>890</v>
      </c>
    </row>
    <row r="10" spans="1:3" x14ac:dyDescent="0.25">
      <c r="A10" s="5" t="s">
        <v>506</v>
      </c>
      <c r="B10" s="41">
        <f>'All Cards'!C107</f>
        <v>15</v>
      </c>
      <c r="C10" s="5" t="s">
        <v>890</v>
      </c>
    </row>
    <row r="11" spans="1:3" x14ac:dyDescent="0.25">
      <c r="A11" s="11" t="s">
        <v>550</v>
      </c>
      <c r="B11" s="40">
        <f>'All Cards'!C119</f>
        <v>13.19</v>
      </c>
      <c r="C11" s="11" t="s">
        <v>890</v>
      </c>
    </row>
    <row r="12" spans="1:3" x14ac:dyDescent="0.25">
      <c r="A12" s="5" t="s">
        <v>626</v>
      </c>
      <c r="B12" s="41">
        <f>'All Cards'!C138</f>
        <v>9.64</v>
      </c>
      <c r="C12" s="5" t="s">
        <v>890</v>
      </c>
    </row>
    <row r="13" spans="1:3" x14ac:dyDescent="0.25">
      <c r="A13" s="11" t="s">
        <v>632</v>
      </c>
      <c r="B13" s="40">
        <f>'All Cards'!C140</f>
        <v>8.74</v>
      </c>
      <c r="C13" s="11" t="s">
        <v>890</v>
      </c>
    </row>
    <row r="14" spans="1:3" x14ac:dyDescent="0.25">
      <c r="A14" s="5" t="s">
        <v>676</v>
      </c>
      <c r="B14" s="41">
        <f>'All Cards'!C150</f>
        <v>7.06</v>
      </c>
      <c r="C14" s="5" t="s">
        <v>890</v>
      </c>
    </row>
    <row r="15" spans="1:3" x14ac:dyDescent="0.25">
      <c r="A15" s="11" t="s">
        <v>798</v>
      </c>
      <c r="B15" s="40">
        <f>'All Cards'!C179</f>
        <v>3</v>
      </c>
      <c r="C15" s="11" t="s">
        <v>890</v>
      </c>
    </row>
    <row r="16" spans="1:3" x14ac:dyDescent="0.25">
      <c r="A16" s="5" t="s">
        <v>799</v>
      </c>
      <c r="B16" s="41">
        <f>'All Cards'!C180</f>
        <v>3</v>
      </c>
      <c r="C16" s="5" t="s">
        <v>890</v>
      </c>
    </row>
    <row r="17" spans="1:3" x14ac:dyDescent="0.25">
      <c r="A17" s="11" t="s">
        <v>808</v>
      </c>
      <c r="B17" s="40">
        <f>'All Cards'!C184</f>
        <v>2.69</v>
      </c>
      <c r="C17" s="11" t="s">
        <v>890</v>
      </c>
    </row>
    <row r="18" spans="1:3" x14ac:dyDescent="0.25">
      <c r="A18" s="5" t="s">
        <v>809</v>
      </c>
      <c r="B18" s="41">
        <f>'All Cards'!C185</f>
        <v>2.37</v>
      </c>
      <c r="C18" s="5" t="s">
        <v>890</v>
      </c>
    </row>
    <row r="19" spans="1:3" x14ac:dyDescent="0.25">
      <c r="A19" s="11" t="s">
        <v>816</v>
      </c>
      <c r="B19" s="40">
        <f>'All Cards'!C187</f>
        <v>2</v>
      </c>
      <c r="C19" s="11" t="s">
        <v>890</v>
      </c>
    </row>
    <row r="20" spans="1:3" x14ac:dyDescent="0.25">
      <c r="A20" s="5" t="s">
        <v>828</v>
      </c>
      <c r="B20" s="41">
        <f>'All Cards'!C190</f>
        <v>0.45</v>
      </c>
      <c r="C20" s="5" t="s">
        <v>890</v>
      </c>
    </row>
    <row r="21" spans="1:3" x14ac:dyDescent="0.25">
      <c r="A21" s="66" t="s">
        <v>891</v>
      </c>
      <c r="B21" s="67">
        <f>SUMIF('All Cards'!$D$2:$D$190,"manual",'All Cards'!$C$2:$C$190)</f>
        <v>1170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Cards</vt:lpstr>
      <vt:lpstr>Summary</vt:lpstr>
      <vt:lpstr>By Player</vt:lpstr>
      <vt:lpstr>By Set</vt:lpstr>
      <vt:lpstr>Charts</vt:lpstr>
      <vt:lpstr>Value Tiers</vt:lpstr>
      <vt:lpstr>Under $5</vt:lpstr>
      <vt:lpstr>Manual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Gerrid Jordon La Sala</cp:lastModifiedBy>
  <dcterms:created xsi:type="dcterms:W3CDTF">2026-03-03T17:38:56Z</dcterms:created>
  <dcterms:modified xsi:type="dcterms:W3CDTF">2026-03-03T18:22:50Z</dcterms:modified>
</cp:coreProperties>
</file>